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Indice e enquadramento" sheetId="1" state="visible" r:id="rId3"/>
    <sheet name="1. SIEMACO - Cargos" sheetId="2" state="visible" r:id="rId4"/>
    <sheet name="2. SIEMACO - Beneficios" sheetId="3" state="visible" r:id="rId5"/>
    <sheet name="3. SESVESP - Cargos" sheetId="4" state="visible" r:id="rId6"/>
    <sheet name="4. SESVESP - Beneficios" sheetId="5" state="visible" r:id="rId7"/>
    <sheet name="5. SINDEEPRES - Cargos" sheetId="6" state="visible" r:id="rId8"/>
    <sheet name="6. SINDEEPRES - Beneficios" sheetId="7" state="visible" r:id="rId9"/>
    <sheet name="7. BOMBEIROS - Cargos" sheetId="8" state="visible" r:id="rId10"/>
    <sheet name="8. BOMBEIROS - Beneficios" sheetId="9" state="visible" r:id="rId11"/>
    <sheet name="9. Comparativ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<sst xmlns="http://schemas.openxmlformats.org/spreadsheetml/2006/main" count="888" uniqueCount="523">
  <si>
    <t xml:space="preserve">As 4 convencoes coletivas de Sao Paulo — qual se aplica a cada posto</t>
  </si>
  <si>
    <t xml:space="preserve">O enquadramento sindical segue a ATIVIDADE PREPONDERANTE DA EMPRESA (art. 511, §2º da CLT), e não a função do empregado — salvo categoria diferenciada (vigilante e bombeiro civil, que têm lei própria). A mesma função pode ter piso diferente conforme o CNAE e o objeto social do prestador. Erro de enquadramento gera passivo retroativo de 5 anos e nulidade da CCT aplicada.</t>
  </si>
  <si>
    <t xml:space="preserve">Convenção</t>
  </si>
  <si>
    <t xml:space="preserve">Sindicatos</t>
  </si>
  <si>
    <t xml:space="preserve">Registro MTE</t>
  </si>
  <si>
    <t xml:space="preserve">Vigência / data-base</t>
  </si>
  <si>
    <t xml:space="preserve">Reajuste</t>
  </si>
  <si>
    <t xml:space="preserve">Categorias e funções abrangidas</t>
  </si>
  <si>
    <t xml:space="preserve">Jornada de referência</t>
  </si>
  <si>
    <t xml:space="preserve">SIEMACO-SP × SEAC-SP</t>
  </si>
  <si>
    <t xml:space="preserve">SIEMACO-SP (laboral) × SEAC-SP (patronal)</t>
  </si>
  <si>
    <t xml:space="preserve">SP003552/2026</t>
  </si>
  <si>
    <t xml:space="preserve">01/01/2026 a 31/12/2027 · data-base 1º de janeiro</t>
  </si>
  <si>
    <t xml:space="preserve">7,00%</t>
  </si>
  <si>
    <t xml:space="preserve">Asseio e conservação e limpeza urbana. Servente, agente de higienização, copeira, recepcionista, PORTEIRO E CONTROLADOR DE ACESSO, líder, encarregado, auxiliar de manutenção, limpador de vidros, desentupimento, coveiro.</t>
  </si>
  <si>
    <t xml:space="preserve">220 h/mês, já computados os DSR</t>
  </si>
  <si>
    <t xml:space="preserve">SESVESP × FETRAVESP</t>
  </si>
  <si>
    <t xml:space="preserve">SESVESP (patronal) × FETRAVESP e 20 sindicatos regionais</t>
  </si>
  <si>
    <t xml:space="preserve">SP000195/2026</t>
  </si>
  <si>
    <t xml:space="preserve">5,75%</t>
  </si>
  <si>
    <t xml:space="preserve">Segurança privada patrimonial e pessoal, cursos de formação de vigilantes e monitoramento eletrônico. CATEGORIA DIFERENCIADA (Lei 7.102/83). Vigilante, líder, brigadista, condutor, operador de monitoramento e de drone, inspetor, supervisor, coordenador.</t>
  </si>
  <si>
    <t xml:space="preserve">44 h semanais ou escala 12x36</t>
  </si>
  <si>
    <t xml:space="preserve">SINDEEPRES × SINDEPRESTEM</t>
  </si>
  <si>
    <t xml:space="preserve">SINDEEPRES (laboral) × SINDEPRESTEM (patronal)</t>
  </si>
  <si>
    <t xml:space="preserve">SP002405/2026 (geral) e SP002398/2026 (portaria)</t>
  </si>
  <si>
    <t xml:space="preserve">01/01/2026 a 31/12/2026 · data-base 1º de janeiro</t>
  </si>
  <si>
    <t xml:space="preserve">6,25% até R$ 7.380,07 e 5,50% acima</t>
  </si>
  <si>
    <t xml:space="preserve">Prestação de serviços a terceiros, colocação e administração de mão de obra e trabalho temporário. Aditivos por segmento: GERAL, PORTARIA E CONTROLE DE ACESSO, logística, promoção e merchandising, água/energia/gás, Poupatempo/Detran, correspondentes de crédito.</t>
  </si>
  <si>
    <t xml:space="preserve">220 h/mês (aditivo geral)</t>
  </si>
  <si>
    <t xml:space="preserve">SINDIBOMBEIROS × SINDEPRESTEM</t>
  </si>
  <si>
    <t xml:space="preserve">SINDIBOMBEIROS (laboral) × SINDEPRESTEM (patronal)</t>
  </si>
  <si>
    <t xml:space="preserve">SP012085/2025 · MR071139/2025</t>
  </si>
  <si>
    <t xml:space="preserve">01/09/2025 a 31/08/2026 · data-base 1º de SETEMBRO</t>
  </si>
  <si>
    <t xml:space="preserve">5,50%</t>
  </si>
  <si>
    <t xml:space="preserve">Bombeiro profissional civil das empresas prestadoras de serviços. CATEGORIA DIFERENCIADA (Lei 11.901/2009). EXCLUI vistoria veicular, asseio e conservação, vigilância patrimonial e logística. Bombeiro civil, líder, condutor, mestre, aeródromo, industrial, hospitalar, salva-vidas, resgatista.</t>
  </si>
  <si>
    <t xml:space="preserve">180 h/mês (Lei 11.901/2009) · escala 12x36</t>
  </si>
  <si>
    <t xml:space="preserve">MESMA FUNÇÃO, CONVENÇÕES DIFERENTES — o ponto de atenção comercial</t>
  </si>
  <si>
    <t xml:space="preserve">Função</t>
  </si>
  <si>
    <t xml:space="preserve">Piso no SIEMACO-SP</t>
  </si>
  <si>
    <t xml:space="preserve">Piso no SINDEEPRES</t>
  </si>
  <si>
    <t xml:space="preserve">Diferença</t>
  </si>
  <si>
    <t xml:space="preserve">Qual se aplica</t>
  </si>
  <si>
    <t xml:space="preserve">Porteiro / controlador de acesso</t>
  </si>
  <si>
    <t xml:space="preserve">Depende da atividade preponderante da empresa prestadora: asseio e conservação leva ao SIEMACO; prestação de serviços a terceiros e locação de mão de obra leva ao SINDEEPRES</t>
  </si>
  <si>
    <t xml:space="preserve">Recepcionista</t>
  </si>
  <si>
    <t xml:space="preserve">No aditivo de PORTARIA do SINDEEPRES, a recepcionista de portaria vai a R$ 2.031,57</t>
  </si>
  <si>
    <t xml:space="preserve">Copeira</t>
  </si>
  <si>
    <t xml:space="preserve">Auxiliar de manutenção</t>
  </si>
  <si>
    <t xml:space="preserve">Auxiliar de departamento pessoal</t>
  </si>
  <si>
    <t xml:space="preserve">Fiscal de piso</t>
  </si>
  <si>
    <t xml:space="preserve">REGRA DE ENQUADRAMENTO — art. 511, §2º da CLT: a categoria profissional decorre da atividade preponderante do EMPREGADOR. Vigilante (Lei 7.102/83) e bombeiro civil (Lei 11.901/2009) são categorias DIFERENCIADAS e seguem a CCT própria, qualquer que seja o objeto social do empregador.</t>
  </si>
  <si>
    <t xml:space="preserve">Consequência prática: uma empresa de asseio que assume um posto de portaria aplica o SIEMACO; uma empresa de terceirização de mão de obra aplica o SINDEEPRES. O mesmo posto pode ter dois preços legítimos.</t>
  </si>
  <si>
    <t xml:space="preserve">ATENÇÃO à data-base do SINDIBOMBEIROS: 1º de SETEMBRO. Contratos com bombeiro civil precisam de cláusula de repactuação em setembro, e não em janeiro.</t>
  </si>
  <si>
    <t xml:space="preserve">A CCT do SIEMACO-SP tem base territorial no MUNICÍPIO DE SÃO PAULO. Guarulhos, ABC, Osasco, Campinas e demais regiões têm instrumento próprio publicado pelo SEAC-SP.</t>
  </si>
  <si>
    <t xml:space="preserve">O aditivo do SINDEEPRES tem vigência ANUAL, encerrando em 31/12/2026. Os demais vão até 2027 ou até agosto de 2026.</t>
  </si>
  <si>
    <t xml:space="preserve">CCT SIEMACO-SP × SEAC-SP 2026/2027 — Asseio e Conservacao — pisos salariais</t>
  </si>
  <si>
    <t xml:space="preserve">Registro MTE SP003552/2026 · BASE TERRITORIAL: MUNICÍPIO DE SÃO PAULO (cláusula 2ª) — demais regiões têm CCT própria · vigência 01/01/2026 a 31/12/2027 · data-base 1º de janeiro · reajuste de 7% · jornada de 220 h/mês, já computados os DSR (cláusula 3ª) · valores conferidos contra o texto registrado</t>
  </si>
  <si>
    <t xml:space="preserve">Função / cargo</t>
  </si>
  <si>
    <t xml:space="preserve">Piso mensal (R$)</t>
  </si>
  <si>
    <t xml:space="preserve">Valor-hora (R$)</t>
  </si>
  <si>
    <t xml:space="preserve">Insalubridade usual</t>
  </si>
  <si>
    <t xml:space="preserve">Periculosidade usual</t>
  </si>
  <si>
    <t xml:space="preserve">Observação</t>
  </si>
  <si>
    <t xml:space="preserve">Piso mínimo da categoria</t>
  </si>
  <si>
    <t xml:space="preserve">—</t>
  </si>
  <si>
    <t xml:space="preserve">Base para funções não tabeladas</t>
  </si>
  <si>
    <t xml:space="preserve">Agente de higienização</t>
  </si>
  <si>
    <t xml:space="preserve">40% se banheiro público ou coletivo, em período integral</t>
  </si>
  <si>
    <t xml:space="preserve">Súmula 448, II do TST: sanitário de uso público de grande circulação gera grau máximo</t>
  </si>
  <si>
    <t xml:space="preserve">Auxiliar de desentupimento</t>
  </si>
  <si>
    <t xml:space="preserve">20%</t>
  </si>
  <si>
    <t xml:space="preserve">NR-15; laudo obrigatório</t>
  </si>
  <si>
    <t xml:space="preserve">Cozinha industrial pode gerar calor pela NR-15 — verificar laudo</t>
  </si>
  <si>
    <t xml:space="preserve">30% se altura pela NR-35 ou inflamáveis</t>
  </si>
  <si>
    <t xml:space="preserve">Demais funções</t>
  </si>
  <si>
    <t xml:space="preserve">Piso residual da CCT</t>
  </si>
  <si>
    <t xml:space="preserve">Varredor de áreas públicas e privadas (integral)</t>
  </si>
  <si>
    <t xml:space="preserve">Líder (responsável por até 10 empregados)</t>
  </si>
  <si>
    <t xml:space="preserve">Acima de 10 subordinados aplica-se o piso de Encarregado</t>
  </si>
  <si>
    <t xml:space="preserve">Limpador de vidro</t>
  </si>
  <si>
    <t xml:space="preserve">30%</t>
  </si>
  <si>
    <t xml:space="preserve">Balancim, cadeirinha, cinto e cordas — previsto expressamente na CCT</t>
  </si>
  <si>
    <t xml:space="preserve">Porteiro / Controlador de acesso / Fiscal de piso</t>
  </si>
  <si>
    <t xml:space="preserve">NÃO é vigilante. Ronda, abordagem ou porte de arma reenquadram como vigilância (Lei 7.102/83)</t>
  </si>
  <si>
    <t xml:space="preserve">Hidrojatista (pressão acima de 4.000 PSI)</t>
  </si>
  <si>
    <t xml:space="preserve">Zeladoria em prédios públicos</t>
  </si>
  <si>
    <t xml:space="preserve">Técnico em desentupimento</t>
  </si>
  <si>
    <t xml:space="preserve">Encarregado (responsável por 11 ou mais empregados)</t>
  </si>
  <si>
    <t xml:space="preserve">Operador de varredeira motorizada</t>
  </si>
  <si>
    <t xml:space="preserve">Operador de empilhadeira</t>
  </si>
  <si>
    <t xml:space="preserve">Exige treinamento pela NR-11</t>
  </si>
  <si>
    <t xml:space="preserve">Operador de vácuo</t>
  </si>
  <si>
    <t xml:space="preserve">Coveiro / sepultador</t>
  </si>
  <si>
    <t xml:space="preserve">40%</t>
  </si>
  <si>
    <t xml:space="preserve">Grau máximo pela CCT</t>
  </si>
  <si>
    <t xml:space="preserve">Tratador de animais em zoológico</t>
  </si>
  <si>
    <t xml:space="preserve">Teto salarial para a cesta básica II</t>
  </si>
  <si>
    <t xml:space="preserve">ADICIONAIS LEGAIS — valores de 2026</t>
  </si>
  <si>
    <t xml:space="preserve">Insalubridade grau mínimo (10%)</t>
  </si>
  <si>
    <t xml:space="preserve">10% do salário mínimo federal de R$ 1.621,00 — art. 192 da CLT</t>
  </si>
  <si>
    <t xml:space="preserve">Insalubridade grau médio (20%)</t>
  </si>
  <si>
    <t xml:space="preserve">20% do salário mínimo federal</t>
  </si>
  <si>
    <t xml:space="preserve">Insalubridade grau máximo (40%)</t>
  </si>
  <si>
    <t xml:space="preserve">40% do salário mínimo federal</t>
  </si>
  <si>
    <t xml:space="preserve">Periculosidade (30%)</t>
  </si>
  <si>
    <t xml:space="preserve">30% do salário base, sem gratificações, prêmios ou PLR — art. 193, §1º da CLT</t>
  </si>
  <si>
    <t xml:space="preserve">Adicional noturno</t>
  </si>
  <si>
    <t xml:space="preserve">20% das 22h às 5h, mais a hora reduzida de 52min30s. Cláusula 45ª §1º: na escala 12x36 NÃO é devido sobre as horas posteriores às 05h</t>
  </si>
  <si>
    <t xml:space="preserve">Jornada de 6h remunera o piso integral; jornada inferior a 4h remunera 60% do piso. Administrativos: reajuste de 5% até R$ 8.026,80.</t>
  </si>
  <si>
    <t xml:space="preserve">Insalubridade e periculosidade não se acumulam (art. 193, §2º da CLT): paga-se a de maior valor.</t>
  </si>
  <si>
    <t xml:space="preserve">A CCT publica tabela de encargos sociais mínimos de 79,5243% para fins de licitação.</t>
  </si>
  <si>
    <t xml:space="preserve">Beneficios — CCT SIEMACO-SP × SEAC-SP 2026/2027 — registro MTE SP003552/2026</t>
  </si>
  <si>
    <t xml:space="preserve">'Recebido pelo funcionário' é o valor bruto do benefício. 'Custo da empresa' é o líquido do desconto legal ou convencional. Nenhum destes benefícios sofre INSS ou FGTS quando concedido na forma da CCT (arts. 457, §2º e 458, §2º da CLT).</t>
  </si>
  <si>
    <t xml:space="preserve">Benefício</t>
  </si>
  <si>
    <t xml:space="preserve">Recebido pelo funcionário</t>
  </si>
  <si>
    <t xml:space="preserve">Desconto do funcionário</t>
  </si>
  <si>
    <t xml:space="preserve">Custo da empresa</t>
  </si>
  <si>
    <t xml:space="preserve">Mensal 5x2 (21,7 dias)</t>
  </si>
  <si>
    <t xml:space="preserve">Mensal 12x36 (15,2 plantões)</t>
  </si>
  <si>
    <t xml:space="preserve">Encargo?</t>
  </si>
  <si>
    <t xml:space="preserve">Cláusula / base</t>
  </si>
  <si>
    <t xml:space="preserve">Vale-refeição</t>
  </si>
  <si>
    <t xml:space="preserve">R$ 21,80 por dia trabalhado</t>
  </si>
  <si>
    <t xml:space="preserve">R$ 1,46 por dia</t>
  </si>
  <si>
    <t xml:space="preserve">R$ 20,34 por dia</t>
  </si>
  <si>
    <t xml:space="preserve">Não</t>
  </si>
  <si>
    <t xml:space="preserve">Cláusula 15ª. Não devido em falta, afastamento médico e férias</t>
  </si>
  <si>
    <t xml:space="preserve">Cesta básica I (in natura)</t>
  </si>
  <si>
    <t xml:space="preserve">R$ 151,91 por mês</t>
  </si>
  <si>
    <t xml:space="preserve">zero</t>
  </si>
  <si>
    <t xml:space="preserve">R$ 151,91</t>
  </si>
  <si>
    <t xml:space="preserve">Cláusula 14ª. Não devida se houver falta injustificada no mês</t>
  </si>
  <si>
    <t xml:space="preserve">Cesta básica II (terceirizados)</t>
  </si>
  <si>
    <t xml:space="preserve">R$ 315,00 por mês</t>
  </si>
  <si>
    <t xml:space="preserve">R$ 315,00, proporcional</t>
  </si>
  <si>
    <t xml:space="preserve">Cláusula 16ª. Reduz com atestado: 1 dia R$ 240; 2 dias R$ 140; 3 ou mais, sem direito. Não devida a piso acima de R$ 2.720,86</t>
  </si>
  <si>
    <t xml:space="preserve">Vale-transporte</t>
  </si>
  <si>
    <t xml:space="preserve">Valor integral das passagens</t>
  </si>
  <si>
    <t xml:space="preserve">Até 6% do salário base</t>
  </si>
  <si>
    <t xml:space="preserve">Bruto menos o desconto</t>
  </si>
  <si>
    <t xml:space="preserve">Lei 7.418/85. Em 12x36 o custo cai cerca de 30% pelo menor número de dias</t>
  </si>
  <si>
    <t xml:space="preserve">Assistência médica e odontológica</t>
  </si>
  <si>
    <t xml:space="preserve">Consultas e exames laboratoriais</t>
  </si>
  <si>
    <t xml:space="preserve">R$ 37,09</t>
  </si>
  <si>
    <t xml:space="preserve">Cláusula 18ª §3º. Recolhido ao Instituto Arlindo Gusmão de Fontes. Multa de igual valor por inadimplência</t>
  </si>
  <si>
    <t xml:space="preserve">Benefício Social Sindical</t>
  </si>
  <si>
    <t xml:space="preserve">Acesso ao programa sindical</t>
  </si>
  <si>
    <t xml:space="preserve">R$ 16,75</t>
  </si>
  <si>
    <t xml:space="preserve">Cláusula 23ª §1º. Pago pela empresa até o dia 10. Multa em dobro</t>
  </si>
  <si>
    <t xml:space="preserve">Auxílio-creche</t>
  </si>
  <si>
    <t xml:space="preserve">R$ 486,30, equivalente a 30% do salário mínimo</t>
  </si>
  <si>
    <t xml:space="preserve">R$ 486,30</t>
  </si>
  <si>
    <t xml:space="preserve">Empresa com 30 ou mais empregadas por CNPJ e sem creche própria. Filhos até 24 meses</t>
  </si>
  <si>
    <t xml:space="preserve">Uniforme</t>
  </si>
  <si>
    <t xml:space="preserve">2 conjuntos completos e agasalho</t>
  </si>
  <si>
    <t xml:space="preserve">zero — desconto vedado</t>
  </si>
  <si>
    <t xml:space="preserve">R$ 45 a R$ 110 por mês, rateio</t>
  </si>
  <si>
    <t xml:space="preserve">Arts. 458 §2º I e 462 da CLT. Cobrança gera devolução em dobro</t>
  </si>
  <si>
    <t xml:space="preserve">EPI</t>
  </si>
  <si>
    <t xml:space="preserve">Conforme função e norma regulamentadora</t>
  </si>
  <si>
    <t xml:space="preserve">R$ 20 a R$ 90 por mês</t>
  </si>
  <si>
    <t xml:space="preserve">NR-06</t>
  </si>
  <si>
    <t xml:space="preserve">Seguro de vida em grupo (facultativo)</t>
  </si>
  <si>
    <t xml:space="preserve">Capital segurado da apólice</t>
  </si>
  <si>
    <t xml:space="preserve">Até 10% do prêmio</t>
  </si>
  <si>
    <t xml:space="preserve">90% do prêmio</t>
  </si>
  <si>
    <t xml:space="preserve">Faculdade do empregador na CCT de asseio</t>
  </si>
  <si>
    <t xml:space="preserve">Dia do Trabalhador do Asseio (16/05)</t>
  </si>
  <si>
    <t xml:space="preserve">1 vale-refeição adicional de R$ 21,80</t>
  </si>
  <si>
    <t xml:space="preserve">R$ 21,80</t>
  </si>
  <si>
    <t xml:space="preserve">Devido se a data for trabalhada</t>
  </si>
  <si>
    <t xml:space="preserve">Contribuição assistencial negocial</t>
  </si>
  <si>
    <t xml:space="preserve">1% do salário, teto de R$ 50,96</t>
  </si>
  <si>
    <t xml:space="preserve">zero — é desconto do empregado</t>
  </si>
  <si>
    <t xml:space="preserve">Direito de oposição em 30 dias a contar da data-base</t>
  </si>
  <si>
    <t xml:space="preserve">CRTS ao SEAC-SP</t>
  </si>
  <si>
    <t xml:space="preserve">0,40% sobre a base do FGTS</t>
  </si>
  <si>
    <t xml:space="preserve">Cláusula 60ª. Contribuição patronal</t>
  </si>
  <si>
    <t xml:space="preserve">Custo fixo mais esquecido: assistência médica somada ao Benefício Social Sindical</t>
  </si>
  <si>
    <t xml:space="preserve">R$ 53,84 por empregado ao mês</t>
  </si>
  <si>
    <t xml:space="preserve">Em 500 postos representa R$ 26.920,00 por mês</t>
  </si>
  <si>
    <t xml:space="preserve">Prêmios e gratificações habituais SOFREM encargos — têm natureza salarial (art. 457 da CLT). R$ 300 pagos como prêmio custam cerca de R$ 470 à empresa; pagos como cesta básica, custam R$ 300.</t>
  </si>
  <si>
    <t xml:space="preserve">CCT Seguranca Privada de Sao Paulo 2026/2027 — SESVESP × FETRAVESP — registro MTE SP000195/2026</t>
  </si>
  <si>
    <t xml:space="preserve">ATENÇÃO: o PISO é R$ 2.271,74 para TODO o Grupo A e TODO o Grupo B. Os percentuais são GRATIFICAÇÃO DE FUNÇÃO, calculada sobre o piso (cláusula 3ª §1º), e NÃO integram a base da periculosidade (cláusula 15ª §2º; art. 193 §1º da CLT e Súmula 191 do TST). Vigência 01/01/2026 a 31/12/2027 · reajuste de 5,75% · categoria diferenciada pela Lei 7.102/83.</t>
  </si>
  <si>
    <t xml:space="preserve">Piso salarial (R$)</t>
  </si>
  <si>
    <t xml:space="preserve">Gratificação</t>
  </si>
  <si>
    <t xml:space="preserve">Valor da gratificação (R$)</t>
  </si>
  <si>
    <t xml:space="preserve">Periculosidade 30% do PISO (R$)</t>
  </si>
  <si>
    <t xml:space="preserve">Remuneração mínima (R$)</t>
  </si>
  <si>
    <t xml:space="preserve">GRUPO A — ÁREA OPERACIONAL</t>
  </si>
  <si>
    <t xml:space="preserve">Vigilante</t>
  </si>
  <si>
    <t xml:space="preserve">Piso-base da categoria</t>
  </si>
  <si>
    <t xml:space="preserve">Vigilante condutor de animais</t>
  </si>
  <si>
    <t xml:space="preserve">10,00%</t>
  </si>
  <si>
    <t xml:space="preserve">Vigilante condutor de veículos</t>
  </si>
  <si>
    <t xml:space="preserve">Vigilante de segurança pessoal</t>
  </si>
  <si>
    <t xml:space="preserve">Vigilante balanceiro</t>
  </si>
  <si>
    <t xml:space="preserve">Vigilante brigadista</t>
  </si>
  <si>
    <t xml:space="preserve">Vigilante líder</t>
  </si>
  <si>
    <t xml:space="preserve">12,00%</t>
  </si>
  <si>
    <t xml:space="preserve">Vigilante em tempo parcial (até 26h semanais)</t>
  </si>
  <si>
    <t xml:space="preserve">Piso próprio de tempo parcial</t>
  </si>
  <si>
    <t xml:space="preserve">GRUPO B — MONITORAMENTO ELETRÔNICO</t>
  </si>
  <si>
    <t xml:space="preserve">Monitor de segurança eletrônica</t>
  </si>
  <si>
    <t xml:space="preserve">5,00%</t>
  </si>
  <si>
    <t xml:space="preserve">Operador de monitoramento</t>
  </si>
  <si>
    <t xml:space="preserve">11,77%</t>
  </si>
  <si>
    <t xml:space="preserve">Operador de drone / VANT</t>
  </si>
  <si>
    <t xml:space="preserve">Supervisor de monitoramento</t>
  </si>
  <si>
    <t xml:space="preserve">74,71%</t>
  </si>
  <si>
    <t xml:space="preserve">GRUPO C — ADMINISTRATIVO E APOIO (pisos próprios)</t>
  </si>
  <si>
    <t xml:space="preserve">Administrativos</t>
  </si>
  <si>
    <t xml:space="preserve">Sem periculosidade — função não operacional</t>
  </si>
  <si>
    <t xml:space="preserve">Auxiliar de monitoramento</t>
  </si>
  <si>
    <t xml:space="preserve">Instalador de sistemas eletrônicos</t>
  </si>
  <si>
    <t xml:space="preserve">Periculosidade se houver exposição elétrica pelas NR-10 e NR-16</t>
  </si>
  <si>
    <t xml:space="preserve">Atendente de sinistro</t>
  </si>
  <si>
    <t xml:space="preserve">Inspetor de segurança</t>
  </si>
  <si>
    <t xml:space="preserve">Periculosidade devida se registrado como vigilante</t>
  </si>
  <si>
    <t xml:space="preserve">Supervisor de segurança</t>
  </si>
  <si>
    <t xml:space="preserve">Coordenador operacional</t>
  </si>
  <si>
    <t xml:space="preserve">ADICIONAIS DA CCT DE SEGURANÇA PRIVADA</t>
  </si>
  <si>
    <t xml:space="preserve">Periculosidade</t>
  </si>
  <si>
    <t xml:space="preserve">Cláusula 15ª. Base: salário-base SEM gratificações de função, prêmios ou PLR — art. 193 §1º da CLT e Súmula 191 do TST</t>
  </si>
  <si>
    <t xml:space="preserve">Adicional noturno (22h às 5h)</t>
  </si>
  <si>
    <t xml:space="preserve">Cláusula 13ª. Acrescido da hora reduzida de 52min30s</t>
  </si>
  <si>
    <t xml:space="preserve">Hora extra</t>
  </si>
  <si>
    <t xml:space="preserve">60%</t>
  </si>
  <si>
    <t xml:space="preserve">Percentual convencional, superior aos 50% legais</t>
  </si>
  <si>
    <t xml:space="preserve">Domingos e feriados</t>
  </si>
  <si>
    <t xml:space="preserve">100%</t>
  </si>
  <si>
    <t xml:space="preserve">Na escala 12x36 há compensação — art. 59-A, parágrafo único da CLT</t>
  </si>
  <si>
    <t xml:space="preserve">Confinamento / offshore</t>
  </si>
  <si>
    <t xml:space="preserve">33%</t>
  </si>
  <si>
    <t xml:space="preserve">Antecipação salarial</t>
  </si>
  <si>
    <t xml:space="preserve">40% do salário base</t>
  </si>
  <si>
    <t xml:space="preserve">Até o dia 20 de cada mês</t>
  </si>
  <si>
    <t xml:space="preserve">CORREÇÃO: fontes secundárias publicam o piso já somado à gratificação (por exemplo, vigilante líder a R$ 2.544,35) e calculam a periculosidade sobre esse total. Está errado — a periculosidade é de R$ 681,52 para todo o Grupo A e todo o Grupo B.</t>
  </si>
  <si>
    <t xml:space="preserve">Base territorial: Estado de São Paulo, por meio da FETRAVESP e de 20 sindicatos regionais. Confirme no extrato SP000195/2026 qual sindicato representa o município do posto.</t>
  </si>
  <si>
    <t xml:space="preserve">Beneficios — CCT Seguranca Privada de Sao Paulo 2026/2027 — registro MTE SP000195/2026</t>
  </si>
  <si>
    <t xml:space="preserve">'Recebido pelo funcionário' é o valor bruto. 'Custo da empresa' é o líquido do desconto ou coparticipação. Nenhum destes benefícios sofre INSS ou FGTS quando concedido na forma da CCT.</t>
  </si>
  <si>
    <t xml:space="preserve">Desconto / coparticipação</t>
  </si>
  <si>
    <t xml:space="preserve">Cláusula</t>
  </si>
  <si>
    <t xml:space="preserve">R$ 42,00 por dia — R$ 638,40 por mês em 12x36</t>
  </si>
  <si>
    <t xml:space="preserve">18% do valor facial, ou R$ 7,56 por dia</t>
  </si>
  <si>
    <t xml:space="preserve">R$ 34,44 por dia</t>
  </si>
  <si>
    <t xml:space="preserve">Cláusula 17ª, a partir de 01/01/2026</t>
  </si>
  <si>
    <t xml:space="preserve">Cesta básica</t>
  </si>
  <si>
    <t xml:space="preserve">R$ 208,45 por mês, valor mínimo</t>
  </si>
  <si>
    <t xml:space="preserve">5%, ou R$ 10,42</t>
  </si>
  <si>
    <t xml:space="preserve">R$ 198,03</t>
  </si>
  <si>
    <t xml:space="preserve">Cláusula 18ª</t>
  </si>
  <si>
    <t xml:space="preserve">Cobertura conforme rol da ANS</t>
  </si>
  <si>
    <t xml:space="preserve">Até 5% do salário normativo, com teto de R$ 135,90 para o titular e R$ 45,00 por dependente</t>
  </si>
  <si>
    <t xml:space="preserve">Prêmio da apólice menos a coparticipação</t>
  </si>
  <si>
    <t xml:space="preserve">Cláusula 20ª §4º</t>
  </si>
  <si>
    <t xml:space="preserve">Seguro de vida — morte</t>
  </si>
  <si>
    <t xml:space="preserve">26x o piso ACRESCIDO da periculosidade, ou R$ 76.784,76</t>
  </si>
  <si>
    <t xml:space="preserve">Prêmio da apólice</t>
  </si>
  <si>
    <t xml:space="preserve">Cláusula 22ª</t>
  </si>
  <si>
    <t xml:space="preserve">Seguro de vida — invalidez total por acidente</t>
  </si>
  <si>
    <t xml:space="preserve">52x o piso, ou R$ 118.130,48</t>
  </si>
  <si>
    <t xml:space="preserve">Seguro de vida — invalidez parcial</t>
  </si>
  <si>
    <t xml:space="preserve">Proporcional, conforme tabela SUSEP</t>
  </si>
  <si>
    <t xml:space="preserve">Auxílio-funeral</t>
  </si>
  <si>
    <t xml:space="preserve">2x o piso, ou R$ 4.543,48</t>
  </si>
  <si>
    <t xml:space="preserve">Confirmar se a base inclui a periculosidade</t>
  </si>
  <si>
    <t xml:space="preserve">6% do salário base</t>
  </si>
  <si>
    <t xml:space="preserve">Lei 7.418/85</t>
  </si>
  <si>
    <t xml:space="preserve">Uniforme e EPI</t>
  </si>
  <si>
    <t xml:space="preserve">Especificação própria da CCT</t>
  </si>
  <si>
    <t xml:space="preserve">R$ 90 a R$ 160 por mês, rateio</t>
  </si>
  <si>
    <t xml:space="preserve">Para vigilantes mulheres</t>
  </si>
  <si>
    <t xml:space="preserve">Conforme cláusula</t>
  </si>
  <si>
    <t xml:space="preserve">Confirmar o valor no instrumento registrado</t>
  </si>
  <si>
    <t xml:space="preserve">CUSTOS EXCLUSIVOS DA VIGILÂNCIA — Módulo 5 da planilha de custos</t>
  </si>
  <si>
    <t xml:space="preserve">Curso de formação de vigilante</t>
  </si>
  <si>
    <t xml:space="preserve">Rateado no período do contrato</t>
  </si>
  <si>
    <t xml:space="preserve">Exigência da Lei 7.102/83 e da Polícia Federal</t>
  </si>
  <si>
    <t xml:space="preserve">Reciclagem bienal obrigatória</t>
  </si>
  <si>
    <t xml:space="preserve">R$ 45 a R$ 90 por mês, custo do curso dividido por 24</t>
  </si>
  <si>
    <t xml:space="preserve">Obrigatória para manter o registro do vigilante</t>
  </si>
  <si>
    <t xml:space="preserve">Arma, munição e colete balístico</t>
  </si>
  <si>
    <t xml:space="preserve">R$ 80 a R$ 200 por mês</t>
  </si>
  <si>
    <t xml:space="preserve">Depreciação, porte, registro na PF e estande de tiro</t>
  </si>
  <si>
    <t xml:space="preserve">Registro e porte junto à Polícia Federal</t>
  </si>
  <si>
    <t xml:space="preserve">Rateado</t>
  </si>
  <si>
    <t xml:space="preserve">Obrigatório para posto armado</t>
  </si>
  <si>
    <t xml:space="preserve">A cesta básica de R$ 208,45 está confirmada na CCT registrada. Fontes de mercado que citam R$ 215,00 estão desatualizadas.</t>
  </si>
  <si>
    <t xml:space="preserve">CCT SINDEEPRES × SINDEPRESTEM 2026 — Prestacao de servicos a terceiros e locacao de mao de obra</t>
  </si>
  <si>
    <t xml:space="preserve">Termos aditivos de 2026: GERAL com registro MTE SP002405/2026 e PORTARIA E CONTROLE DE ACESSO com registro MTE SP002398/2026 · vigência 01/01/2026 a 31/12/2026 (aditivo anual) · data-base 1º de janeiro · reajuste de 6,25% até R$ 7.380,07 e de 5,50% de R$ 7.380,08 a R$ 16.951,09 · jornada de referência de 220 h/mês · base territorial: Estado de São Paulo, com anexo de municípios</t>
  </si>
  <si>
    <t xml:space="preserve">Aditivo</t>
  </si>
  <si>
    <t xml:space="preserve">ADITIVO GERAL — registro MTE SP002405/2026</t>
  </si>
  <si>
    <t xml:space="preserve">Salário normativo da categoria</t>
  </si>
  <si>
    <t xml:space="preserve">GERAL</t>
  </si>
  <si>
    <t xml:space="preserve">Piso de referência da categoria (cláusula 5ª)</t>
  </si>
  <si>
    <t xml:space="preserve">Mensageiro</t>
  </si>
  <si>
    <t xml:space="preserve">Carregador</t>
  </si>
  <si>
    <t xml:space="preserve">Empacotador</t>
  </si>
  <si>
    <t xml:space="preserve">Montador</t>
  </si>
  <si>
    <t xml:space="preserve">Auxiliar de serviços gerais / de operações</t>
  </si>
  <si>
    <t xml:space="preserve">Ajudante geral</t>
  </si>
  <si>
    <t xml:space="preserve">Atendente</t>
  </si>
  <si>
    <t xml:space="preserve">Auxiliar administrativo / de escritório</t>
  </si>
  <si>
    <t xml:space="preserve">Fiscal de caixa</t>
  </si>
  <si>
    <t xml:space="preserve">No aditivo de PORTARIA, a recepcionista de portaria vai a R$ 2.031,57</t>
  </si>
  <si>
    <t xml:space="preserve">Piso residual do aditivo geral</t>
  </si>
  <si>
    <t xml:space="preserve">Fiscal de piso / fiscal de loja</t>
  </si>
  <si>
    <t xml:space="preserve">Monitor ambiental</t>
  </si>
  <si>
    <t xml:space="preserve">Zelador</t>
  </si>
  <si>
    <t xml:space="preserve">Acrescido de 20% de acúmulo de função</t>
  </si>
  <si>
    <t xml:space="preserve">ADITIVO PORTARIA E CONTROLE DE ACESSO — registro MTE SP002398/2026</t>
  </si>
  <si>
    <t xml:space="preserve">PORTARIA</t>
  </si>
  <si>
    <t xml:space="preserve">Compare com o SIEMACO-SP: R$ 2.162,60 — diferença de R$ 131,03</t>
  </si>
  <si>
    <t xml:space="preserve">Recepcionista de portaria</t>
  </si>
  <si>
    <t xml:space="preserve">Folguista</t>
  </si>
  <si>
    <t xml:space="preserve">Piso próprio para o folguista de cobertura</t>
  </si>
  <si>
    <t xml:space="preserve">Operador de portaria remota</t>
  </si>
  <si>
    <t xml:space="preserve">Auxiliar / oficial de serviços gerais</t>
  </si>
  <si>
    <t xml:space="preserve">O SINDEEPRES negocia aditivos separados por segmento. Além de GERAL e PORTARIA existem LOGÍSTICA, PROMOÇÃO E MERCHANDISING, ÁGUA-ENERGIA-GÁS, POUPATEMPO-DETRAN e PROMOTORES DE CRÉDITO. Verifique qual aditivo cobre o seu contrato.</t>
  </si>
  <si>
    <t xml:space="preserve">Os aditivos não fixam adicional noturno próprio — aplica-se a regra da CLT: 20% das 22h às 5h, com hora reduzida de 52min30s.</t>
  </si>
  <si>
    <t xml:space="preserve">ATENÇÃO: a vigência é ANUAL, de 01/01/2026 a 31/12/2026. Um novo aditivo será negociado para 2027 — contratos plurianuais precisam de cláusula de repactuação por data-base.</t>
  </si>
  <si>
    <t xml:space="preserve">Beneficios — CCT SINDEEPRES × SINDEPRESTEM 2026 — aditivos GERAL (SP002405/2026) e PORTARIA (SP002398/2026)</t>
  </si>
  <si>
    <t xml:space="preserve">Os dois aditivos têm valores DIFERENTES de vale-refeição, cesta básica e seguro de vida. Confira qual se aplica ao seu contrato.</t>
  </si>
  <si>
    <t xml:space="preserve">Aditivo GERAL</t>
  </si>
  <si>
    <t xml:space="preserve">Aditivo PORTARIA</t>
  </si>
  <si>
    <t xml:space="preserve">Vale-refeição / alimentação</t>
  </si>
  <si>
    <t xml:space="preserve">R$ 24,80 por dia trabalhado</t>
  </si>
  <si>
    <t xml:space="preserve">R$ 26,03 por dia trabalhado</t>
  </si>
  <si>
    <t xml:space="preserve">Até o limite legal do PAT — a CCT não fixa valor</t>
  </si>
  <si>
    <t xml:space="preserve">Praticamente integral</t>
  </si>
  <si>
    <t xml:space="preserve">Cláusula 10ª. Devido só se a jornada diária for superior a 6h. Não devido em faltas e afastamentos</t>
  </si>
  <si>
    <t xml:space="preserve">R$ 174,10 por mês</t>
  </si>
  <si>
    <t xml:space="preserve">R$ 205,91 por mês</t>
  </si>
  <si>
    <t xml:space="preserve">zero — sem ônus para o trabalhador</t>
  </si>
  <si>
    <t xml:space="preserve">Integral</t>
  </si>
  <si>
    <t xml:space="preserve">Cláusula 11ª. No aditivo de portaria, apenas para quem percebia até R$ 3.519,62 em 01/01/2026</t>
  </si>
  <si>
    <t xml:space="preserve">Prêmio de boa permanência</t>
  </si>
  <si>
    <t xml:space="preserve">R$ 110,00 por mês</t>
  </si>
  <si>
    <t xml:space="preserve">R$ 110,00</t>
  </si>
  <si>
    <t xml:space="preserve">VERIFICAR</t>
  </si>
  <si>
    <t xml:space="preserve">Cláusula 12ª. Pagamento mensal e habitual — avaliar risco de natureza salarial pelo art. 457 da CLT</t>
  </si>
  <si>
    <t xml:space="preserve">Seguro de vida — morte natural</t>
  </si>
  <si>
    <t xml:space="preserve">R$ 13.444,01 de capital</t>
  </si>
  <si>
    <t xml:space="preserve">R$ 12.532,54 de capital</t>
  </si>
  <si>
    <t xml:space="preserve">Até R$ 2,40 por mês, no máximo 80% do prêmio</t>
  </si>
  <si>
    <t xml:space="preserve">Prêmio menos o desconto</t>
  </si>
  <si>
    <t xml:space="preserve">Cláusula 13ª</t>
  </si>
  <si>
    <t xml:space="preserve">Seguro de vida — morte acidental ou invalidez permanente</t>
  </si>
  <si>
    <t xml:space="preserve">R$ 20.166,02 de capital</t>
  </si>
  <si>
    <t xml:space="preserve">R$ 18.798,81 de capital</t>
  </si>
  <si>
    <t xml:space="preserve">idem</t>
  </si>
  <si>
    <t xml:space="preserve">Adiantamento para sepultamento</t>
  </si>
  <si>
    <t xml:space="preserve">R$ 984,94</t>
  </si>
  <si>
    <t xml:space="preserve">R$ 877,27</t>
  </si>
  <si>
    <t xml:space="preserve">Ressarcido pela seguradora</t>
  </si>
  <si>
    <t xml:space="preserve">Assistência odontológica</t>
  </si>
  <si>
    <t xml:space="preserve">Convênio do sindicato</t>
  </si>
  <si>
    <t xml:space="preserve">R$ 11,60 por mês, opcional e mediante autorização escrita</t>
  </si>
  <si>
    <t xml:space="preserve">R$ 28,31 por trabalhador ao mês</t>
  </si>
  <si>
    <t xml:space="preserve">Cláusula 14ª. Recolhido pela empresa ao sindicato</t>
  </si>
  <si>
    <t xml:space="preserve">PLR</t>
  </si>
  <si>
    <t xml:space="preserve">R$ 351,60 por ano, em 2 parcelas de R$ 175,80</t>
  </si>
  <si>
    <t xml:space="preserve">R$ 351,60 por ano, mais taxa de negociação de R$ 13,00</t>
  </si>
  <si>
    <t xml:space="preserve">Cláusula 9ª</t>
  </si>
  <si>
    <t xml:space="preserve">Assistência médica</t>
  </si>
  <si>
    <t xml:space="preserve">NÃO CONSTA no aditivo</t>
  </si>
  <si>
    <t xml:space="preserve">Diferente do SIEMACO-SP, que fixa R$ 37,09</t>
  </si>
  <si>
    <t xml:space="preserve">Aplica-se a regra da CLT, art. 389 §1º</t>
  </si>
  <si>
    <t xml:space="preserve">CONTRIBUIÇÕES SINDICAIS</t>
  </si>
  <si>
    <t xml:space="preserve">Contribuição sindical anual (março)</t>
  </si>
  <si>
    <t xml:space="preserve">1 dia de salário</t>
  </si>
  <si>
    <t xml:space="preserve">Cláusula 15ª</t>
  </si>
  <si>
    <t xml:space="preserve">Contribuição mensal do empregado</t>
  </si>
  <si>
    <t xml:space="preserve">1% do salário nominal, teto de R$ 180,54</t>
  </si>
  <si>
    <t xml:space="preserve">1% do salário nominal</t>
  </si>
  <si>
    <t xml:space="preserve">Cláusula 16ª</t>
  </si>
  <si>
    <t xml:space="preserve">Contribuição negocial (outubro)</t>
  </si>
  <si>
    <t xml:space="preserve">2%, limitada a R$ 107,30</t>
  </si>
  <si>
    <t xml:space="preserve">2%, teto de R$ 107,30</t>
  </si>
  <si>
    <t xml:space="preserve">Cláusula 18ª. Desconto único em outubro</t>
  </si>
  <si>
    <t xml:space="preserve">Contribuição patronal</t>
  </si>
  <si>
    <t xml:space="preserve">Por faixa de capital social</t>
  </si>
  <si>
    <t xml:space="preserve">Conforme Assembleia de 03/12/2025 — consultar sindeprestem.com.br</t>
  </si>
  <si>
    <t xml:space="preserve">Cláusula 17ª. Valores não constam do texto da CCT</t>
  </si>
  <si>
    <t xml:space="preserve">ALERTA DE PRECIFICAÇÃO: o prêmio de boa permanência de R$ 110,00 é mensal e habitual. O art. 457, §§2º e 4º da CLT afasta a natureza salarial dos prêmios apenas quando pagos por desempenho superior ao ordinariamente esperado. Um prêmio pago a todos, todo mês, tem alto risco de reclassificação como salário — o que acresce 36,8% de encargos mais reflexos em 13º, férias e rescisão. Provisione o risco ou obtenha parecer jurídico.</t>
  </si>
  <si>
    <t xml:space="preserve">O SINDEEPRES não prevê assistência médica nem Benefício Social Sindical — economia de R$ 53,84 por empregado ao mês em relação ao SIEMACO-SP. Em contrapartida, tem PLR de R$ 351,60 ao ano, equivalente a R$ 29,30 por mês, e prêmio de R$ 110,00 por mês.</t>
  </si>
  <si>
    <t xml:space="preserve">CCT Bombeiros Civis de Sao Paulo 2025/2026 — SINDIBOMBEIROS × SINDEPRESTEM — registro MTE SP012085/2025</t>
  </si>
  <si>
    <t xml:space="preserve">DATA-BASE 1º DE SETEMBRO — vigência de 01/09/2025 a 31/08/2026, reajuste de 5,50%. Categoria DIFERENCIADA pela Lei 11.901/2009. O piso do bombeiro civil é referenciado a 180 H/MÊS (cláusula 3ª §5º); as demais funções a 220 h/mês. Escala 12x36 obrigatória. Base territorial: Estado de São Paulo, EXCETO vistoria veicular, asseio e conservação, vigilância patrimonial e logística. Os pisos são VALORES AUTÔNOMOS — a gratificação incide sobre o piso da própria função.</t>
  </si>
  <si>
    <t xml:space="preserve">Periculosidade 30% do piso (R$)</t>
  </si>
  <si>
    <t xml:space="preserve">Divisor</t>
  </si>
  <si>
    <t xml:space="preserve">OPERACIONAL — BASE</t>
  </si>
  <si>
    <t xml:space="preserve">Bombeiro Civil</t>
  </si>
  <si>
    <t xml:space="preserve">180 h</t>
  </si>
  <si>
    <t xml:space="preserve">Bombeiro Civil Condutor</t>
  </si>
  <si>
    <t xml:space="preserve">25%</t>
  </si>
  <si>
    <t xml:space="preserve">Bombeiro Civil que atende Heliponto</t>
  </si>
  <si>
    <t xml:space="preserve">10%</t>
  </si>
  <si>
    <t xml:space="preserve">Bombeiro Civil que trabalha na Indústria</t>
  </si>
  <si>
    <t xml:space="preserve">Bombeiro Civil que labora em Hospital</t>
  </si>
  <si>
    <t xml:space="preserve">Bombeiro Civil Portuário</t>
  </si>
  <si>
    <t xml:space="preserve">Bombeiro Civil Florestal</t>
  </si>
  <si>
    <t xml:space="preserve">Resgatista Civil / Socorrista</t>
  </si>
  <si>
    <t xml:space="preserve">220 h</t>
  </si>
  <si>
    <t xml:space="preserve">LIDERANÇA E TÉCNICO</t>
  </si>
  <si>
    <t xml:space="preserve">B.C. Líder ou Técnico em Prevenção e Combate a Incêndio</t>
  </si>
  <si>
    <t xml:space="preserve">B.C. Líder Condutor / Técnico Condutor</t>
  </si>
  <si>
    <t xml:space="preserve">B.C. Industrial Líder / Técnico na indústria</t>
  </si>
  <si>
    <t xml:space="preserve">B.C. Líder que atende Heliponto</t>
  </si>
  <si>
    <t xml:space="preserve">B.C. Líder que labora em Hospital</t>
  </si>
  <si>
    <t xml:space="preserve">B.C. Florestal Líder</t>
  </si>
  <si>
    <t xml:space="preserve">CHEFIA, COORDENAÇÃO E MESTRE</t>
  </si>
  <si>
    <t xml:space="preserve">B.C. Supervisor / Coordenador</t>
  </si>
  <si>
    <t xml:space="preserve">B.C. Encarregado / Chefe</t>
  </si>
  <si>
    <t xml:space="preserve">B.C. Inspetor</t>
  </si>
  <si>
    <t xml:space="preserve">Instrutor de Curso de Bombeiro Civil</t>
  </si>
  <si>
    <t xml:space="preserve">Bombeiro Civil Mestre</t>
  </si>
  <si>
    <t xml:space="preserve">Gerente de Projetos</t>
  </si>
  <si>
    <t xml:space="preserve">AERÓDROMO</t>
  </si>
  <si>
    <t xml:space="preserve">Bombeiro Civil Aeródromo</t>
  </si>
  <si>
    <t xml:space="preserve">15%</t>
  </si>
  <si>
    <t xml:space="preserve">B.C. Aeródromo Condutor</t>
  </si>
  <si>
    <t xml:space="preserve">28%</t>
  </si>
  <si>
    <t xml:space="preserve">B.C. Aeródromo Líder / Técnico PCI de Aeródromo</t>
  </si>
  <si>
    <t xml:space="preserve">B.C. Aeródromo Inspetor</t>
  </si>
  <si>
    <t xml:space="preserve">B.C. Aeródromo Chefe</t>
  </si>
  <si>
    <t xml:space="preserve">B.C. Aeródromo Operador de Central de Comunicação</t>
  </si>
  <si>
    <t xml:space="preserve">CENTRAL DE EMERGÊNCIA E AQUÁTICOS</t>
  </si>
  <si>
    <t xml:space="preserve">B.C. Operador de Central de Emergência / Telegrafista</t>
  </si>
  <si>
    <t xml:space="preserve">B.C. Operador de Central de Emergência Industrial</t>
  </si>
  <si>
    <t xml:space="preserve">Salva-Vidas / Monitor Aquático</t>
  </si>
  <si>
    <t xml:space="preserve">Salva-Vidas Líder / Monitor Aquático Líder</t>
  </si>
  <si>
    <t xml:space="preserve">ADICIONAIS E REGRAS DE JORNADA</t>
  </si>
  <si>
    <t xml:space="preserve">Cláusula 19ª. Sobre o salário mensal, sem gratificações, prêmios ou PLR — art. 6º, III da Lei 11.901/2009. Resgatista e socorrista são EXPRESSAMENTE EXCLUÍDOS</t>
  </si>
  <si>
    <t xml:space="preserve">Cláusula 17ª. Das 22h às 5h. A CCT não trata da hora reduzida — aplica-se a CLT por omissão</t>
  </si>
  <si>
    <t xml:space="preserve">Hora extra em folga</t>
  </si>
  <si>
    <t xml:space="preserve">Escala</t>
  </si>
  <si>
    <t xml:space="preserve">12x36 obrigatória</t>
  </si>
  <si>
    <t xml:space="preserve">Cláusula 58ª. Totalizando 36 horas semanais; ultrapassada a 36ª hora, hora extra com adicional de 100%. Outras escalas só mediante acordo dos DOIS sindicatos e sem exceder 36h semanais</t>
  </si>
  <si>
    <t xml:space="preserve">R$ 1.766,53 por ano</t>
  </si>
  <si>
    <t xml:space="preserve">Cláusula 21ª. R$ 883,26 em julho e R$ 883,27 em fevereiro. Redutor de 20% por falta justificada e de 25% por injustificada</t>
  </si>
  <si>
    <t xml:space="preserve">DIVISOR DE 180 HORAS: o piso do Bombeiro Civil é referenciado a 180 h/mês pela Lei 11.901/2009, e não a 220 h. O valor-hora é, portanto, cerca de 22% MAIOR que o de uma função equivalente sob 220 h — o que encarece proporcionalmente horas extras, adicional noturno e DSR. Usar 220 h como divisor subprecifica o posto.</t>
  </si>
  <si>
    <t xml:space="preserve">CONTROVÉRSIA A VALIDAR JURIDICAMENTE: a cláusula 58ª fixa a escala 12x36 'totalizando 36 horas semanais', com hora extra a 100% acima disso. Uma escala 12x36 real produz cerca de 42 horas semanais. Antes de precificar um posto 24x7 de bombeiro civil, obtenha parecer sobre a necessidade de provisionar as horas excedentes.</t>
  </si>
  <si>
    <t xml:space="preserve">CORREÇÃO DE FONTES SECUNDÁRIAS: circula na internet que o Bombeiro Mestre seria R$ 4.315,67 e que o Líder seria 'piso mais 15%'. Ambos estão errados. O Mestre é R$ 10.755,13 e o Líder é R$ 3.828,40 SEM gratificação. A cadeia confere com a CCT anterior de 2024/2025 reajustada em 5,50%.</t>
  </si>
  <si>
    <t xml:space="preserve">Beneficios — CCT Bombeiros Civis de Sao Paulo 2025/2026 — registro MTE SP012085/2025</t>
  </si>
  <si>
    <t xml:space="preserve">'Recebido pelo funcionário' é o valor bruto. 'Custo da empresa' é o líquido do desconto ou coparticipação. Vigência até 31/08/2026 — a partir de 1º de setembro haverá nova convenção.</t>
  </si>
  <si>
    <t xml:space="preserve">R$ 34,26 por dia efetivamente trabalhado</t>
  </si>
  <si>
    <t xml:space="preserve">Cláusula 22ª. Só se a jornada diária for superior a 6h. Não devido em faltas, afastamentos e férias</t>
  </si>
  <si>
    <t xml:space="preserve">R$ 193,62 por mês, em cartão alimentação</t>
  </si>
  <si>
    <t xml:space="preserve">R$ 193,62</t>
  </si>
  <si>
    <t xml:space="preserve">Cláusula 23ª. Até o dia 20. Garantida com até 1 falta injustificada. Mantida por até 180 dias em afastamento</t>
  </si>
  <si>
    <t xml:space="preserve">Assistência médica ambulatorial</t>
  </si>
  <si>
    <t xml:space="preserve">Cobertura do convênio contratado</t>
  </si>
  <si>
    <t xml:space="preserve">Até 12% do piso da categoria, ou até R$ 334,12 por mês, limitado ao valor individual contratado</t>
  </si>
  <si>
    <t xml:space="preserve">Prêmio menos a coparticipação</t>
  </si>
  <si>
    <t xml:space="preserve">Cláusula 33ª. Obrigatória para todos. Direito de oposição por escrito</t>
  </si>
  <si>
    <t xml:space="preserve">Limpeza, extração e obturação</t>
  </si>
  <si>
    <t xml:space="preserve">R$ 23,00 por mês, descontado em folha</t>
  </si>
  <si>
    <t xml:space="preserve">zero — repassado ao sindicato</t>
  </si>
  <si>
    <t xml:space="preserve">Cláusula 28ª. Direito de oposição em 10 dias</t>
  </si>
  <si>
    <t xml:space="preserve">R$ 13.114,77 de capital</t>
  </si>
  <si>
    <t xml:space="preserve">Cláusula 27ª</t>
  </si>
  <si>
    <t xml:space="preserve">R$ 19.672,47 de capital</t>
  </si>
  <si>
    <t xml:space="preserve">R$ 1.243,11 em até 24 horas</t>
  </si>
  <si>
    <t xml:space="preserve">R$ 147,21 por mês, mensalizado</t>
  </si>
  <si>
    <t xml:space="preserve">Cláusula 21ª. Redutor de 20% por falta justificada e de 25% por injustificada</t>
  </si>
  <si>
    <t xml:space="preserve">Fornecimento gratuito</t>
  </si>
  <si>
    <t xml:space="preserve">Rateio conforme especificação</t>
  </si>
  <si>
    <t xml:space="preserve">Art. 458 §2º I da CLT</t>
  </si>
  <si>
    <t xml:space="preserve">FORMAÇÃO, RECICLAGEM E CONTRIBUIÇÕES</t>
  </si>
  <si>
    <t xml:space="preserve">Reciclagem anual obrigatória</t>
  </si>
  <si>
    <t xml:space="preserve">Curso custeado integralmente pela empresa</t>
  </si>
  <si>
    <t xml:space="preserve">Custo do curso — a CCT não fixa valor em R$</t>
  </si>
  <si>
    <t xml:space="preserve">Cláusula 41ª. Renovada a cada 12 meses. Sem pagamento de horas extras no período</t>
  </si>
  <si>
    <t xml:space="preserve">Ressarcimento por saída antecipada</t>
  </si>
  <si>
    <t xml:space="preserve">1/12 do piso por mês não trabalhado, com teto de 50% do piso</t>
  </si>
  <si>
    <t xml:space="preserve">Recuperação parcial do custo do curso</t>
  </si>
  <si>
    <t xml:space="preserve">Cláusula 41ª §2º. Só em pedido de demissão ou justa causa antes de 1 ano</t>
  </si>
  <si>
    <t xml:space="preserve">Credenciamento CBPMESP</t>
  </si>
  <si>
    <t xml:space="preserve">Decreto Estadual 69.118/2024</t>
  </si>
  <si>
    <t xml:space="preserve">Novo admitido: custo próprio</t>
  </si>
  <si>
    <t xml:space="preserve">Contrato vigente: custo integral da empresa desde 28/11/2025</t>
  </si>
  <si>
    <t xml:space="preserve">Cláusula 41ª §§7º a 9º</t>
  </si>
  <si>
    <t xml:space="preserve">Contribuição assistencial do empregado</t>
  </si>
  <si>
    <t xml:space="preserve">2% do piso do bombeiro civil por mês, ou R$ 55,69; em novembro, 5%, ou R$ 139,22</t>
  </si>
  <si>
    <t xml:space="preserve">Cláusula 76ª. Direito de oposição individual</t>
  </si>
  <si>
    <t xml:space="preserve">Contribuição sindical anual</t>
  </si>
  <si>
    <t xml:space="preserve">1 dia de trabalho, mediante autorização</t>
  </si>
  <si>
    <t xml:space="preserve">Cláusula 79ª</t>
  </si>
  <si>
    <t xml:space="preserve">Por faixa de capital social, conforme Ata de 09/09/2025</t>
  </si>
  <si>
    <t xml:space="preserve">Cláusula 78ª. Valores não constam do texto da CCT</t>
  </si>
  <si>
    <t xml:space="preserve">LACUNAS HONESTAS — itens que a CCT não quantifica e que exigem cotação própria: o valor pago pela empresa no plano médico (a norma fixa apenas o teto de desconto do empregado), o custo do curso de reciclagem e do credenciamento CBPMESP, os valores da contribuição patronal por faixa de capital social, e o limite exato de desconto do vale-refeição.</t>
  </si>
  <si>
    <t xml:space="preserve">Comparativo entre as quatro convencoes — custo direto por empregado</t>
  </si>
  <si>
    <t xml:space="preserve">Escala 12x36 com 15,2 plantões por mês. Valores líquidos do desconto do empregado. NÃO inclui vale-transporte, que depende do itinerário, nem os Módulos 2, 3, 4 e 6 da planilha de custos.</t>
  </si>
  <si>
    <t xml:space="preserve">Item</t>
  </si>
  <si>
    <t xml:space="preserve">SIEMACO — servente</t>
  </si>
  <si>
    <t xml:space="preserve">SIEMACO — porteiro</t>
  </si>
  <si>
    <t xml:space="preserve">SINDEEPRES — portaria</t>
  </si>
  <si>
    <t xml:space="preserve">SESVESP — vigilante</t>
  </si>
  <si>
    <t xml:space="preserve">BOMBEIROS — bombeiro civil</t>
  </si>
  <si>
    <t xml:space="preserve">Comentário</t>
  </si>
  <si>
    <t xml:space="preserve">Salário base / piso</t>
  </si>
  <si>
    <t xml:space="preserve">O bombeiro civil é referenciado a 180 h/mês; os demais a 220 h/mês</t>
  </si>
  <si>
    <t xml:space="preserve">Periculosidade de 30%</t>
  </si>
  <si>
    <t xml:space="preserve">Devida ao vigilante pelo art. 193, II da CLT e ao bombeiro civil pela Lei 11.901/2009</t>
  </si>
  <si>
    <t xml:space="preserve">Vale-refeição líquido no mês</t>
  </si>
  <si>
    <t xml:space="preserve">Por dia: R$ 21,80 · R$ 21,80 · R$ 26,03 · R$ 42,00 · R$ 34,26</t>
  </si>
  <si>
    <t xml:space="preserve">Cesta básica líquida</t>
  </si>
  <si>
    <t xml:space="preserve">SINDEEPRES portaria e SESVESP são as mais generosas</t>
  </si>
  <si>
    <t xml:space="preserve">Só o SIEMACO fixa valor em R$. Os demais remetem a apólice ou não preveem</t>
  </si>
  <si>
    <t xml:space="preserve">Exclusivo do SIEMACO</t>
  </si>
  <si>
    <t xml:space="preserve">Exclusivo do SINDEEPRES — atenção ao risco de natureza salarial</t>
  </si>
  <si>
    <t xml:space="preserve">PLR mensalizada</t>
  </si>
  <si>
    <t xml:space="preserve">SINDEEPRES R$ 351,60 ao ano; bombeiros R$ 1.766,53 ao ano</t>
  </si>
  <si>
    <t xml:space="preserve">Insumos do Módulo 5</t>
  </si>
  <si>
    <t xml:space="preserve">Vigilância inclui arma e reciclagem bienal; bombeiro inclui reciclagem anual e credenciamento CBPMESP</t>
  </si>
  <si>
    <t xml:space="preserve">TOTAL</t>
  </si>
  <si>
    <t xml:space="preserve">Soma dos itens acima</t>
  </si>
  <si>
    <t xml:space="preserve">Índice, base 100 no servente de limpeza</t>
  </si>
  <si>
    <t xml:space="preserve">Quanto cada convenção custa em relação ao servente</t>
  </si>
  <si>
    <t xml:space="preserve">O total é CUSTO DIRETO POR EMPREGADO. O preço do posto exige ainda os Submódulos 2.1 e 2.2, os Módulos 3, 4 e 6 e o gross-up tributário — ver o simulador e o manual que acompanham esta planilha.</t>
  </si>
  <si>
    <t xml:space="preserve">O porteiro sob o SIEMACO custa mais no salário do que sob o SINDEEPRES, mas o SINDEEPRES devolve parte da diferença em vale-refeição, cesta, prêmio e PLR. Compare o TOTAL, não o piso.</t>
  </si>
  <si>
    <t xml:space="preserve">Fontes: CCT SP003552/2026 (SIEMACO-SP × SEAC-SP), CCT SP000195/2026 (SESVESP × FETRAVESP), termos aditivos SP002405/2026 e SP002398/2026 (SINDEEPRES × SINDEPRESTEM) e CCT SP012085/2025 (SINDIBOMBEIROS × SINDEPRESTEM).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</si>
</sst>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1291B"/>
      <name val="Arial"/>
      <family val="0"/>
      <charset val="1"/>
    </font>
    <font>
      <sz val="8.5"/>
      <color rgb="FF5A627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9"/>
      <color rgb="FF1B1F2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1F26"/>
      <name val="Arial"/>
      <family val="0"/>
      <charset val="1"/>
    </font>
    <font>
      <b val="true"/>
      <sz val="9"/>
      <color rgb="FFC1291B"/>
      <name val="Arial"/>
      <family val="0"/>
      <charset val="1"/>
    </font>
    <font>
      <i val="true"/>
      <sz val="8"/>
      <color rgb="FFC1291B"/>
      <name val="Arial"/>
      <family val="0"/>
      <charset val="1"/>
    </font>
    <font>
      <i val="true"/>
      <sz val="8"/>
      <color rgb="FF5A6270"/>
      <name val="Arial"/>
      <family val="0"/>
      <charset val="1"/>
    </font>
    <font>
      <b val="true"/>
      <sz val="10"/>
      <color rgb="FFC1291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1291B"/>
        <bgColor rgb="FF993366"/>
      </patternFill>
    </fill>
    <fill>
      <patternFill patternType="solid">
        <fgColor rgb="FFF2F3F5"/>
        <bgColor rgb="FFFFFFFF"/>
      </patternFill>
    </fill>
    <fill>
      <patternFill patternType="solid">
        <fgColor rgb="FF1B1F26"/>
        <bgColor rgb="FF333300"/>
      </patternFill>
    </fill>
    <fill>
      <patternFill patternType="solid">
        <fgColor rgb="FFF7E3E0"/>
        <bgColor rgb="FFF2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8"/>
      </left>
      <right style="thin">
        <color rgb="FFD0D3D8"/>
      </right>
      <top style="thin">
        <color rgb="FFD0D3D8"/>
      </top>
      <bottom style="thin">
        <color rgb="FFD0D3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D0D3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3E0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003366"/>
      <rgbColor rgb="FF339966"/>
      <rgbColor rgb="FF003300"/>
      <rgbColor rgb="FF333300"/>
      <rgbColor rgb="FFC1291B"/>
      <rgbColor rgb="FF993366"/>
      <rgbColor rgb="FF333399"/>
      <rgbColor rgb="FF1B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54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1" t="s">
        <v>0</v>
      </c>
    </row>
    <row r="2" customFormat="false" ht="45.75" hidden="false" customHeight="true" outlineLevel="0" collapsed="false">
      <c r="A2" s="2" t="s">
        <v>1</v>
      </c>
    </row>
    <row r="5" customFormat="false" ht="33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customFormat="false" ht="43.25" hidden="false" customHeight="false" outlineLevel="0" collapsed="false">
      <c r="A6" s="4" t="s">
        <v>9</v>
      </c>
      <c r="B6" s="5" t="s">
        <v>10</v>
      </c>
      <c r="C6" s="6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customFormat="false" ht="43.25" hidden="false" customHeight="false" outlineLevel="0" collapsed="false">
      <c r="A7" s="7" t="s">
        <v>16</v>
      </c>
      <c r="B7" s="8" t="s">
        <v>17</v>
      </c>
      <c r="C7" s="9" t="s">
        <v>18</v>
      </c>
      <c r="D7" s="8" t="s">
        <v>12</v>
      </c>
      <c r="E7" s="8" t="s">
        <v>19</v>
      </c>
      <c r="F7" s="8" t="s">
        <v>20</v>
      </c>
      <c r="G7" s="8" t="s">
        <v>21</v>
      </c>
    </row>
    <row r="8" customFormat="false" ht="53.7" hidden="false" customHeight="false" outlineLevel="0" collapsed="false">
      <c r="A8" s="4" t="s">
        <v>22</v>
      </c>
      <c r="B8" s="5" t="s">
        <v>23</v>
      </c>
      <c r="C8" s="6" t="s">
        <v>24</v>
      </c>
      <c r="D8" s="5" t="s">
        <v>25</v>
      </c>
      <c r="E8" s="5" t="s">
        <v>26</v>
      </c>
      <c r="F8" s="5" t="s">
        <v>27</v>
      </c>
      <c r="G8" s="5" t="s">
        <v>28</v>
      </c>
    </row>
    <row r="9" customFormat="false" ht="53.7" hidden="false" customHeight="false" outlineLevel="0" collapsed="false">
      <c r="A9" s="7" t="s">
        <v>29</v>
      </c>
      <c r="B9" s="8" t="s">
        <v>30</v>
      </c>
      <c r="C9" s="9" t="s">
        <v>31</v>
      </c>
      <c r="D9" s="8" t="s">
        <v>32</v>
      </c>
      <c r="E9" s="8" t="s">
        <v>33</v>
      </c>
      <c r="F9" s="8" t="s">
        <v>34</v>
      </c>
      <c r="G9" s="8" t="s">
        <v>35</v>
      </c>
    </row>
    <row r="12" customFormat="false" ht="15" hidden="false" customHeight="false" outlineLevel="0" collapsed="false">
      <c r="A12" s="10" t="s">
        <v>36</v>
      </c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2" t="s">
        <v>37</v>
      </c>
      <c r="B13" s="13" t="s">
        <v>38</v>
      </c>
      <c r="C13" s="13" t="s">
        <v>39</v>
      </c>
      <c r="D13" s="13" t="s">
        <v>40</v>
      </c>
      <c r="E13" s="13"/>
      <c r="F13" s="13" t="s">
        <v>41</v>
      </c>
      <c r="G13" s="13"/>
    </row>
    <row r="14" customFormat="false" ht="32.8" hidden="false" customHeight="false" outlineLevel="0" collapsed="false">
      <c r="A14" s="4" t="s">
        <v>42</v>
      </c>
      <c r="B14" s="14" t="n">
        <v>2162.6</v>
      </c>
      <c r="C14" s="14" t="n">
        <v>2031.57</v>
      </c>
      <c r="D14" s="15" t="n">
        <f aca="false">B14-C14</f>
        <v>131.03</v>
      </c>
      <c r="E14" s="6"/>
      <c r="F14" s="5" t="s">
        <v>43</v>
      </c>
      <c r="G14" s="6"/>
    </row>
    <row r="15" customFormat="false" ht="22.35" hidden="false" customHeight="false" outlineLevel="0" collapsed="false">
      <c r="A15" s="7" t="s">
        <v>44</v>
      </c>
      <c r="B15" s="16" t="n">
        <v>1995.25</v>
      </c>
      <c r="C15" s="16" t="n">
        <v>1805.43</v>
      </c>
      <c r="D15" s="17" t="n">
        <f aca="false">B15-C15</f>
        <v>189.82</v>
      </c>
      <c r="E15" s="9"/>
      <c r="F15" s="8" t="s">
        <v>45</v>
      </c>
      <c r="G15" s="9"/>
    </row>
    <row r="16" customFormat="false" ht="15" hidden="false" customHeight="false" outlineLevel="0" collapsed="false">
      <c r="A16" s="4" t="s">
        <v>46</v>
      </c>
      <c r="B16" s="14" t="n">
        <v>1850.07</v>
      </c>
      <c r="C16" s="14" t="n">
        <v>1805.43</v>
      </c>
      <c r="D16" s="15" t="n">
        <f aca="false">B16-C16</f>
        <v>44.6399999999999</v>
      </c>
      <c r="E16" s="6"/>
      <c r="F16" s="5"/>
      <c r="G16" s="6"/>
    </row>
    <row r="17" customFormat="false" ht="15" hidden="false" customHeight="false" outlineLevel="0" collapsed="false">
      <c r="A17" s="7" t="s">
        <v>47</v>
      </c>
      <c r="B17" s="16" t="n">
        <v>1890.24</v>
      </c>
      <c r="C17" s="16" t="n">
        <v>1805.43</v>
      </c>
      <c r="D17" s="17" t="n">
        <f aca="false">B17-C17</f>
        <v>84.81</v>
      </c>
      <c r="E17" s="9"/>
      <c r="F17" s="8"/>
      <c r="G17" s="9"/>
    </row>
    <row r="18" customFormat="false" ht="15" hidden="false" customHeight="false" outlineLevel="0" collapsed="false">
      <c r="A18" s="4" t="s">
        <v>48</v>
      </c>
      <c r="B18" s="14" t="n">
        <v>1995.25</v>
      </c>
      <c r="C18" s="14" t="n">
        <v>1805.43</v>
      </c>
      <c r="D18" s="15" t="n">
        <f aca="false">B18-C18</f>
        <v>189.82</v>
      </c>
      <c r="E18" s="6"/>
      <c r="F18" s="5"/>
      <c r="G18" s="6"/>
    </row>
    <row r="19" customFormat="false" ht="15" hidden="false" customHeight="false" outlineLevel="0" collapsed="false">
      <c r="A19" s="7" t="s">
        <v>49</v>
      </c>
      <c r="B19" s="16" t="n">
        <v>2162.6</v>
      </c>
      <c r="C19" s="16" t="n">
        <v>2031.57</v>
      </c>
      <c r="D19" s="17" t="n">
        <f aca="false">B19-C19</f>
        <v>131.03</v>
      </c>
      <c r="E19" s="9"/>
      <c r="F19" s="8"/>
      <c r="G19" s="9"/>
    </row>
    <row r="21" customFormat="false" ht="15" hidden="false" customHeight="false" outlineLevel="0" collapsed="false">
      <c r="A21" s="18" t="s">
        <v>50</v>
      </c>
    </row>
    <row r="22" customFormat="false" ht="15" hidden="false" customHeight="false" outlineLevel="0" collapsed="false">
      <c r="A22" s="19" t="s">
        <v>51</v>
      </c>
    </row>
    <row r="23" customFormat="false" ht="15" hidden="false" customHeight="false" outlineLevel="0" collapsed="false">
      <c r="A23" s="19" t="s">
        <v>52</v>
      </c>
    </row>
    <row r="24" customFormat="false" ht="15" hidden="false" customHeight="false" outlineLevel="0" collapsed="false">
      <c r="A24" s="19" t="s">
        <v>53</v>
      </c>
    </row>
    <row r="25" customFormat="false" ht="15" hidden="false" customHeight="false" outlineLevel="0" collapsed="false">
      <c r="A25" s="1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1" t="s">
        <v>55</v>
      </c>
    </row>
    <row r="2" customFormat="false" ht="45.75" hidden="false" customHeight="true" outlineLevel="0" collapsed="false">
      <c r="A2" s="2" t="s">
        <v>56</v>
      </c>
    </row>
    <row r="5" customFormat="false" ht="33.75" hidden="false" customHeight="true" outlineLevel="0" collapsed="false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</row>
    <row r="6" customFormat="false" ht="15" hidden="false" customHeight="false" outlineLevel="0" collapsed="false">
      <c r="A6" s="4" t="s">
        <v>63</v>
      </c>
      <c r="B6" s="14" t="n">
        <v>1837.4</v>
      </c>
      <c r="C6" s="14" t="n">
        <f aca="false">B6/220</f>
        <v>8.35181818181818</v>
      </c>
      <c r="D6" s="5" t="s">
        <v>64</v>
      </c>
      <c r="E6" s="5" t="s">
        <v>64</v>
      </c>
      <c r="F6" s="5" t="s">
        <v>65</v>
      </c>
    </row>
    <row r="7" customFormat="false" ht="22.35" hidden="false" customHeight="false" outlineLevel="0" collapsed="false">
      <c r="A7" s="7" t="s">
        <v>66</v>
      </c>
      <c r="B7" s="16" t="n">
        <v>1837.4</v>
      </c>
      <c r="C7" s="16" t="n">
        <f aca="false">B7/220</f>
        <v>8.35181818181818</v>
      </c>
      <c r="D7" s="8" t="s">
        <v>67</v>
      </c>
      <c r="E7" s="8" t="s">
        <v>64</v>
      </c>
      <c r="F7" s="8" t="s">
        <v>68</v>
      </c>
    </row>
    <row r="8" customFormat="false" ht="15" hidden="false" customHeight="false" outlineLevel="0" collapsed="false">
      <c r="A8" s="4" t="s">
        <v>69</v>
      </c>
      <c r="B8" s="14" t="n">
        <v>1837.4</v>
      </c>
      <c r="C8" s="14" t="n">
        <f aca="false">B8/220</f>
        <v>8.35181818181818</v>
      </c>
      <c r="D8" s="5" t="s">
        <v>70</v>
      </c>
      <c r="E8" s="5" t="s">
        <v>64</v>
      </c>
      <c r="F8" s="5" t="s">
        <v>71</v>
      </c>
    </row>
    <row r="9" customFormat="false" ht="15" hidden="false" customHeight="false" outlineLevel="0" collapsed="false">
      <c r="A9" s="7" t="s">
        <v>46</v>
      </c>
      <c r="B9" s="16" t="n">
        <v>1850.07</v>
      </c>
      <c r="C9" s="16" t="n">
        <f aca="false">B9/220</f>
        <v>8.40940909090909</v>
      </c>
      <c r="D9" s="8" t="s">
        <v>64</v>
      </c>
      <c r="E9" s="8" t="s">
        <v>64</v>
      </c>
      <c r="F9" s="8" t="s">
        <v>72</v>
      </c>
    </row>
    <row r="10" customFormat="false" ht="22.35" hidden="false" customHeight="false" outlineLevel="0" collapsed="false">
      <c r="A10" s="4" t="s">
        <v>47</v>
      </c>
      <c r="B10" s="14" t="n">
        <v>1890.24</v>
      </c>
      <c r="C10" s="14" t="n">
        <f aca="false">B10/220</f>
        <v>8.592</v>
      </c>
      <c r="D10" s="5" t="s">
        <v>64</v>
      </c>
      <c r="E10" s="5" t="s">
        <v>73</v>
      </c>
      <c r="F10" s="5"/>
    </row>
    <row r="11" customFormat="false" ht="15" hidden="false" customHeight="false" outlineLevel="0" collapsed="false">
      <c r="A11" s="7" t="s">
        <v>74</v>
      </c>
      <c r="B11" s="16" t="n">
        <v>1890.24</v>
      </c>
      <c r="C11" s="16" t="n">
        <f aca="false">B11/220</f>
        <v>8.592</v>
      </c>
      <c r="D11" s="8" t="s">
        <v>64</v>
      </c>
      <c r="E11" s="8" t="s">
        <v>64</v>
      </c>
      <c r="F11" s="8" t="s">
        <v>75</v>
      </c>
    </row>
    <row r="12" customFormat="false" ht="15" hidden="false" customHeight="false" outlineLevel="0" collapsed="false">
      <c r="A12" s="4" t="s">
        <v>76</v>
      </c>
      <c r="B12" s="14" t="n">
        <v>1917.04</v>
      </c>
      <c r="C12" s="14" t="n">
        <f aca="false">B12/220</f>
        <v>8.71381818181818</v>
      </c>
      <c r="D12" s="5" t="s">
        <v>64</v>
      </c>
      <c r="E12" s="5" t="s">
        <v>64</v>
      </c>
      <c r="F12" s="5"/>
    </row>
    <row r="13" customFormat="false" ht="15" hidden="false" customHeight="false" outlineLevel="0" collapsed="false">
      <c r="A13" s="7" t="s">
        <v>44</v>
      </c>
      <c r="B13" s="16" t="n">
        <v>1995.25</v>
      </c>
      <c r="C13" s="16" t="n">
        <f aca="false">B13/220</f>
        <v>9.06931818181818</v>
      </c>
      <c r="D13" s="8" t="s">
        <v>64</v>
      </c>
      <c r="E13" s="8" t="s">
        <v>64</v>
      </c>
      <c r="F13" s="8"/>
    </row>
    <row r="14" customFormat="false" ht="15" hidden="false" customHeight="false" outlineLevel="0" collapsed="false">
      <c r="A14" s="4" t="s">
        <v>48</v>
      </c>
      <c r="B14" s="14" t="n">
        <v>1995.25</v>
      </c>
      <c r="C14" s="14" t="n">
        <f aca="false">B14/220</f>
        <v>9.06931818181818</v>
      </c>
      <c r="D14" s="5" t="s">
        <v>64</v>
      </c>
      <c r="E14" s="5" t="s">
        <v>64</v>
      </c>
      <c r="F14" s="5"/>
    </row>
    <row r="15" customFormat="false" ht="15" hidden="false" customHeight="false" outlineLevel="0" collapsed="false">
      <c r="A15" s="7" t="s">
        <v>77</v>
      </c>
      <c r="B15" s="16" t="n">
        <v>2003.9</v>
      </c>
      <c r="C15" s="16" t="n">
        <f aca="false">B15/220</f>
        <v>9.10863636363636</v>
      </c>
      <c r="D15" s="8" t="s">
        <v>64</v>
      </c>
      <c r="E15" s="8" t="s">
        <v>64</v>
      </c>
      <c r="F15" s="8" t="s">
        <v>78</v>
      </c>
    </row>
    <row r="16" customFormat="false" ht="22.35" hidden="false" customHeight="false" outlineLevel="0" collapsed="false">
      <c r="A16" s="4" t="s">
        <v>79</v>
      </c>
      <c r="B16" s="14" t="n">
        <v>2014.1</v>
      </c>
      <c r="C16" s="14" t="n">
        <f aca="false">B16/220</f>
        <v>9.155</v>
      </c>
      <c r="D16" s="5" t="s">
        <v>64</v>
      </c>
      <c r="E16" s="5" t="s">
        <v>80</v>
      </c>
      <c r="F16" s="5" t="s">
        <v>81</v>
      </c>
    </row>
    <row r="17" customFormat="false" ht="22.35" hidden="false" customHeight="false" outlineLevel="0" collapsed="false">
      <c r="A17" s="7" t="s">
        <v>82</v>
      </c>
      <c r="B17" s="16" t="n">
        <v>2162.6</v>
      </c>
      <c r="C17" s="16" t="n">
        <f aca="false">B17/220</f>
        <v>9.83</v>
      </c>
      <c r="D17" s="8" t="s">
        <v>64</v>
      </c>
      <c r="E17" s="8" t="s">
        <v>64</v>
      </c>
      <c r="F17" s="8" t="s">
        <v>83</v>
      </c>
    </row>
    <row r="18" customFormat="false" ht="15" hidden="false" customHeight="false" outlineLevel="0" collapsed="false">
      <c r="A18" s="4" t="s">
        <v>84</v>
      </c>
      <c r="B18" s="14" t="n">
        <v>2303.64</v>
      </c>
      <c r="C18" s="14" t="n">
        <f aca="false">B18/220</f>
        <v>10.4710909090909</v>
      </c>
      <c r="D18" s="5" t="s">
        <v>70</v>
      </c>
      <c r="E18" s="5" t="s">
        <v>64</v>
      </c>
      <c r="F18" s="5"/>
    </row>
    <row r="19" customFormat="false" ht="15" hidden="false" customHeight="false" outlineLevel="0" collapsed="false">
      <c r="A19" s="7" t="s">
        <v>85</v>
      </c>
      <c r="B19" s="16" t="n">
        <v>2351.12</v>
      </c>
      <c r="C19" s="16" t="n">
        <f aca="false">B19/220</f>
        <v>10.6869090909091</v>
      </c>
      <c r="D19" s="8" t="s">
        <v>64</v>
      </c>
      <c r="E19" s="8" t="s">
        <v>64</v>
      </c>
      <c r="F19" s="8"/>
    </row>
    <row r="20" customFormat="false" ht="15" hidden="false" customHeight="false" outlineLevel="0" collapsed="false">
      <c r="A20" s="4" t="s">
        <v>86</v>
      </c>
      <c r="B20" s="14" t="n">
        <v>2401.97</v>
      </c>
      <c r="C20" s="14" t="n">
        <f aca="false">B20/220</f>
        <v>10.9180454545455</v>
      </c>
      <c r="D20" s="5" t="s">
        <v>70</v>
      </c>
      <c r="E20" s="5" t="s">
        <v>64</v>
      </c>
      <c r="F20" s="5"/>
    </row>
    <row r="21" customFormat="false" ht="15" hidden="false" customHeight="false" outlineLevel="0" collapsed="false">
      <c r="A21" s="7" t="s">
        <v>87</v>
      </c>
      <c r="B21" s="16" t="n">
        <v>2404.68</v>
      </c>
      <c r="C21" s="16" t="n">
        <f aca="false">B21/220</f>
        <v>10.9303636363636</v>
      </c>
      <c r="D21" s="8" t="s">
        <v>64</v>
      </c>
      <c r="E21" s="8" t="s">
        <v>64</v>
      </c>
      <c r="F21" s="8"/>
    </row>
    <row r="22" customFormat="false" ht="15" hidden="false" customHeight="false" outlineLevel="0" collapsed="false">
      <c r="A22" s="4" t="s">
        <v>88</v>
      </c>
      <c r="B22" s="14" t="n">
        <v>2627.83</v>
      </c>
      <c r="C22" s="14" t="n">
        <f aca="false">B22/220</f>
        <v>11.9446818181818</v>
      </c>
      <c r="D22" s="5" t="s">
        <v>64</v>
      </c>
      <c r="E22" s="5" t="s">
        <v>64</v>
      </c>
      <c r="F22" s="5"/>
    </row>
    <row r="23" customFormat="false" ht="15" hidden="false" customHeight="false" outlineLevel="0" collapsed="false">
      <c r="A23" s="7" t="s">
        <v>89</v>
      </c>
      <c r="B23" s="16" t="n">
        <v>2627.83</v>
      </c>
      <c r="C23" s="16" t="n">
        <f aca="false">B23/220</f>
        <v>11.9446818181818</v>
      </c>
      <c r="D23" s="8" t="s">
        <v>64</v>
      </c>
      <c r="E23" s="8" t="s">
        <v>64</v>
      </c>
      <c r="F23" s="8" t="s">
        <v>90</v>
      </c>
    </row>
    <row r="24" customFormat="false" ht="15" hidden="false" customHeight="false" outlineLevel="0" collapsed="false">
      <c r="A24" s="4" t="s">
        <v>91</v>
      </c>
      <c r="B24" s="14" t="n">
        <v>2627.83</v>
      </c>
      <c r="C24" s="14" t="n">
        <f aca="false">B24/220</f>
        <v>11.9446818181818</v>
      </c>
      <c r="D24" s="5" t="s">
        <v>64</v>
      </c>
      <c r="E24" s="5" t="s">
        <v>64</v>
      </c>
      <c r="F24" s="5"/>
    </row>
    <row r="25" customFormat="false" ht="15" hidden="false" customHeight="false" outlineLevel="0" collapsed="false">
      <c r="A25" s="7" t="s">
        <v>92</v>
      </c>
      <c r="B25" s="16" t="n">
        <v>2662.55</v>
      </c>
      <c r="C25" s="16" t="n">
        <f aca="false">B25/220</f>
        <v>12.1025</v>
      </c>
      <c r="D25" s="8" t="s">
        <v>93</v>
      </c>
      <c r="E25" s="8" t="s">
        <v>64</v>
      </c>
      <c r="F25" s="8" t="s">
        <v>94</v>
      </c>
    </row>
    <row r="26" customFormat="false" ht="15" hidden="false" customHeight="false" outlineLevel="0" collapsed="false">
      <c r="A26" s="4" t="s">
        <v>95</v>
      </c>
      <c r="B26" s="14" t="n">
        <v>2720.86</v>
      </c>
      <c r="C26" s="14" t="n">
        <f aca="false">B26/220</f>
        <v>12.3675454545455</v>
      </c>
      <c r="D26" s="5" t="s">
        <v>64</v>
      </c>
      <c r="E26" s="5" t="s">
        <v>64</v>
      </c>
      <c r="F26" s="5" t="s">
        <v>96</v>
      </c>
    </row>
    <row r="28" customFormat="false" ht="15" hidden="false" customHeight="false" outlineLevel="0" collapsed="false">
      <c r="A28" s="10" t="s">
        <v>97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7" t="s">
        <v>98</v>
      </c>
      <c r="B29" s="16" t="n">
        <v>162.1</v>
      </c>
      <c r="C29" s="9"/>
      <c r="D29" s="9"/>
      <c r="E29" s="9"/>
      <c r="F29" s="8" t="s">
        <v>99</v>
      </c>
    </row>
    <row r="30" customFormat="false" ht="15" hidden="false" customHeight="false" outlineLevel="0" collapsed="false">
      <c r="A30" s="4" t="s">
        <v>100</v>
      </c>
      <c r="B30" s="14" t="n">
        <v>324.2</v>
      </c>
      <c r="C30" s="6"/>
      <c r="D30" s="6"/>
      <c r="E30" s="6"/>
      <c r="F30" s="5" t="s">
        <v>101</v>
      </c>
    </row>
    <row r="31" customFormat="false" ht="15" hidden="false" customHeight="false" outlineLevel="0" collapsed="false">
      <c r="A31" s="7" t="s">
        <v>102</v>
      </c>
      <c r="B31" s="16" t="n">
        <v>648.4</v>
      </c>
      <c r="C31" s="9"/>
      <c r="D31" s="9"/>
      <c r="E31" s="9"/>
      <c r="F31" s="8" t="s">
        <v>103</v>
      </c>
    </row>
    <row r="32" customFormat="false" ht="22.35" hidden="false" customHeight="false" outlineLevel="0" collapsed="false">
      <c r="A32" s="4" t="s">
        <v>104</v>
      </c>
      <c r="B32" s="14"/>
      <c r="C32" s="6"/>
      <c r="D32" s="6"/>
      <c r="E32" s="6"/>
      <c r="F32" s="5" t="s">
        <v>105</v>
      </c>
    </row>
    <row r="33" customFormat="false" ht="32.8" hidden="false" customHeight="false" outlineLevel="0" collapsed="false">
      <c r="A33" s="7" t="s">
        <v>106</v>
      </c>
      <c r="B33" s="16"/>
      <c r="C33" s="9"/>
      <c r="D33" s="9"/>
      <c r="E33" s="9"/>
      <c r="F33" s="8" t="s">
        <v>107</v>
      </c>
    </row>
    <row r="35" customFormat="false" ht="15" hidden="false" customHeight="false" outlineLevel="0" collapsed="false">
      <c r="A35" s="19" t="s">
        <v>108</v>
      </c>
    </row>
    <row r="36" customFormat="false" ht="15" hidden="false" customHeight="false" outlineLevel="0" collapsed="false">
      <c r="A36" s="19" t="s">
        <v>109</v>
      </c>
    </row>
    <row r="37" customFormat="false" ht="15" hidden="false" customHeight="false" outlineLevel="0" collapsed="false">
      <c r="A37" s="1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111</v>
      </c>
    </row>
    <row r="2" customFormat="false" ht="45.75" hidden="false" customHeight="true" outlineLevel="0" collapsed="false">
      <c r="A2" s="2" t="s">
        <v>112</v>
      </c>
    </row>
    <row r="5" customFormat="false" ht="33.75" hidden="false" customHeight="true" outlineLevel="0" collapsed="false">
      <c r="A5" s="3" t="s">
        <v>113</v>
      </c>
      <c r="B5" s="3" t="s">
        <v>114</v>
      </c>
      <c r="C5" s="3" t="s">
        <v>115</v>
      </c>
      <c r="D5" s="3" t="s">
        <v>116</v>
      </c>
      <c r="E5" s="3" t="s">
        <v>117</v>
      </c>
      <c r="F5" s="3" t="s">
        <v>118</v>
      </c>
      <c r="G5" s="3" t="s">
        <v>119</v>
      </c>
      <c r="H5" s="3" t="s">
        <v>120</v>
      </c>
    </row>
    <row r="6" customFormat="false" ht="22.35" hidden="false" customHeight="false" outlineLevel="0" collapsed="false">
      <c r="A6" s="4" t="s">
        <v>121</v>
      </c>
      <c r="B6" s="5" t="s">
        <v>122</v>
      </c>
      <c r="C6" s="5" t="s">
        <v>123</v>
      </c>
      <c r="D6" s="5" t="s">
        <v>124</v>
      </c>
      <c r="E6" s="14" t="n">
        <v>441.378</v>
      </c>
      <c r="F6" s="14" t="n">
        <v>309.168</v>
      </c>
      <c r="G6" s="6" t="s">
        <v>125</v>
      </c>
      <c r="H6" s="5" t="s">
        <v>126</v>
      </c>
    </row>
    <row r="7" customFormat="false" ht="22.35" hidden="false" customHeight="false" outlineLevel="0" collapsed="false">
      <c r="A7" s="7" t="s">
        <v>127</v>
      </c>
      <c r="B7" s="8" t="s">
        <v>128</v>
      </c>
      <c r="C7" s="8" t="s">
        <v>129</v>
      </c>
      <c r="D7" s="8" t="s">
        <v>130</v>
      </c>
      <c r="E7" s="16" t="n">
        <v>151.91</v>
      </c>
      <c r="F7" s="16" t="n">
        <v>151.91</v>
      </c>
      <c r="G7" s="9" t="s">
        <v>125</v>
      </c>
      <c r="H7" s="8" t="s">
        <v>131</v>
      </c>
    </row>
    <row r="8" customFormat="false" ht="32.8" hidden="false" customHeight="false" outlineLevel="0" collapsed="false">
      <c r="A8" s="4" t="s">
        <v>132</v>
      </c>
      <c r="B8" s="5" t="s">
        <v>133</v>
      </c>
      <c r="C8" s="5" t="s">
        <v>129</v>
      </c>
      <c r="D8" s="5" t="s">
        <v>134</v>
      </c>
      <c r="E8" s="14" t="n">
        <v>315</v>
      </c>
      <c r="F8" s="14" t="n">
        <v>315</v>
      </c>
      <c r="G8" s="6" t="s">
        <v>125</v>
      </c>
      <c r="H8" s="5" t="s">
        <v>135</v>
      </c>
    </row>
    <row r="9" customFormat="false" ht="22.35" hidden="false" customHeight="false" outlineLevel="0" collapsed="false">
      <c r="A9" s="7" t="s">
        <v>136</v>
      </c>
      <c r="B9" s="8" t="s">
        <v>137</v>
      </c>
      <c r="C9" s="8" t="s">
        <v>138</v>
      </c>
      <c r="D9" s="8" t="s">
        <v>139</v>
      </c>
      <c r="E9" s="16"/>
      <c r="F9" s="16"/>
      <c r="G9" s="9" t="s">
        <v>125</v>
      </c>
      <c r="H9" s="8" t="s">
        <v>140</v>
      </c>
    </row>
    <row r="10" customFormat="false" ht="22.35" hidden="false" customHeight="false" outlineLevel="0" collapsed="false">
      <c r="A10" s="4" t="s">
        <v>141</v>
      </c>
      <c r="B10" s="5" t="s">
        <v>142</v>
      </c>
      <c r="C10" s="5" t="s">
        <v>129</v>
      </c>
      <c r="D10" s="5" t="s">
        <v>143</v>
      </c>
      <c r="E10" s="14" t="n">
        <v>37.09</v>
      </c>
      <c r="F10" s="14" t="n">
        <v>37.09</v>
      </c>
      <c r="G10" s="6" t="s">
        <v>125</v>
      </c>
      <c r="H10" s="5" t="s">
        <v>144</v>
      </c>
    </row>
    <row r="11" customFormat="false" ht="22.35" hidden="false" customHeight="false" outlineLevel="0" collapsed="false">
      <c r="A11" s="7" t="s">
        <v>145</v>
      </c>
      <c r="B11" s="8" t="s">
        <v>146</v>
      </c>
      <c r="C11" s="8" t="s">
        <v>129</v>
      </c>
      <c r="D11" s="8" t="s">
        <v>147</v>
      </c>
      <c r="E11" s="16" t="n">
        <v>16.75</v>
      </c>
      <c r="F11" s="16" t="n">
        <v>16.75</v>
      </c>
      <c r="G11" s="9" t="s">
        <v>125</v>
      </c>
      <c r="H11" s="8" t="s">
        <v>148</v>
      </c>
    </row>
    <row r="12" customFormat="false" ht="22.35" hidden="false" customHeight="false" outlineLevel="0" collapsed="false">
      <c r="A12" s="4" t="s">
        <v>149</v>
      </c>
      <c r="B12" s="5" t="s">
        <v>150</v>
      </c>
      <c r="C12" s="5" t="s">
        <v>129</v>
      </c>
      <c r="D12" s="5" t="s">
        <v>151</v>
      </c>
      <c r="E12" s="14" t="n">
        <v>486.3</v>
      </c>
      <c r="F12" s="14" t="n">
        <v>486.3</v>
      </c>
      <c r="G12" s="6" t="s">
        <v>125</v>
      </c>
      <c r="H12" s="5" t="s">
        <v>152</v>
      </c>
    </row>
    <row r="13" customFormat="false" ht="22.35" hidden="false" customHeight="false" outlineLevel="0" collapsed="false">
      <c r="A13" s="7" t="s">
        <v>153</v>
      </c>
      <c r="B13" s="8" t="s">
        <v>154</v>
      </c>
      <c r="C13" s="8" t="s">
        <v>155</v>
      </c>
      <c r="D13" s="8" t="s">
        <v>156</v>
      </c>
      <c r="E13" s="16"/>
      <c r="F13" s="16"/>
      <c r="G13" s="9" t="s">
        <v>125</v>
      </c>
      <c r="H13" s="8" t="s">
        <v>157</v>
      </c>
    </row>
    <row r="14" customFormat="false" ht="22.35" hidden="false" customHeight="false" outlineLevel="0" collapsed="false">
      <c r="A14" s="4" t="s">
        <v>158</v>
      </c>
      <c r="B14" s="5" t="s">
        <v>159</v>
      </c>
      <c r="C14" s="5" t="s">
        <v>129</v>
      </c>
      <c r="D14" s="5" t="s">
        <v>160</v>
      </c>
      <c r="E14" s="14"/>
      <c r="F14" s="14"/>
      <c r="G14" s="6" t="s">
        <v>125</v>
      </c>
      <c r="H14" s="5" t="s">
        <v>161</v>
      </c>
    </row>
    <row r="15" customFormat="false" ht="15" hidden="false" customHeight="false" outlineLevel="0" collapsed="false">
      <c r="A15" s="7" t="s">
        <v>162</v>
      </c>
      <c r="B15" s="8" t="s">
        <v>163</v>
      </c>
      <c r="C15" s="8" t="s">
        <v>164</v>
      </c>
      <c r="D15" s="8" t="s">
        <v>165</v>
      </c>
      <c r="E15" s="16"/>
      <c r="F15" s="16"/>
      <c r="G15" s="9" t="s">
        <v>125</v>
      </c>
      <c r="H15" s="8" t="s">
        <v>166</v>
      </c>
    </row>
    <row r="16" customFormat="false" ht="15" hidden="false" customHeight="false" outlineLevel="0" collapsed="false">
      <c r="A16" s="4" t="s">
        <v>167</v>
      </c>
      <c r="B16" s="5" t="s">
        <v>168</v>
      </c>
      <c r="C16" s="5" t="s">
        <v>129</v>
      </c>
      <c r="D16" s="5" t="s">
        <v>169</v>
      </c>
      <c r="E16" s="14"/>
      <c r="F16" s="14"/>
      <c r="G16" s="6" t="s">
        <v>125</v>
      </c>
      <c r="H16" s="5" t="s">
        <v>170</v>
      </c>
    </row>
    <row r="17" customFormat="false" ht="15" hidden="false" customHeight="false" outlineLevel="0" collapsed="false">
      <c r="A17" s="7" t="s">
        <v>171</v>
      </c>
      <c r="B17" s="8" t="s">
        <v>64</v>
      </c>
      <c r="C17" s="8" t="s">
        <v>172</v>
      </c>
      <c r="D17" s="8" t="s">
        <v>173</v>
      </c>
      <c r="E17" s="16"/>
      <c r="F17" s="16"/>
      <c r="G17" s="9" t="s">
        <v>64</v>
      </c>
      <c r="H17" s="8" t="s">
        <v>174</v>
      </c>
    </row>
    <row r="18" customFormat="false" ht="15" hidden="false" customHeight="false" outlineLevel="0" collapsed="false">
      <c r="A18" s="4" t="s">
        <v>175</v>
      </c>
      <c r="B18" s="5" t="s">
        <v>64</v>
      </c>
      <c r="C18" s="5" t="s">
        <v>129</v>
      </c>
      <c r="D18" s="5" t="s">
        <v>176</v>
      </c>
      <c r="E18" s="14"/>
      <c r="F18" s="14"/>
      <c r="G18" s="6" t="s">
        <v>64</v>
      </c>
      <c r="H18" s="5" t="s">
        <v>177</v>
      </c>
    </row>
    <row r="20" customFormat="false" ht="15" hidden="false" customHeight="false" outlineLevel="0" collapsed="false">
      <c r="A20" s="12" t="s">
        <v>178</v>
      </c>
      <c r="B20" s="13"/>
      <c r="C20" s="13"/>
      <c r="D20" s="20" t="s">
        <v>179</v>
      </c>
      <c r="E20" s="21" t="n">
        <v>53.84</v>
      </c>
      <c r="F20" s="21" t="n">
        <v>53.84</v>
      </c>
      <c r="G20" s="13" t="s">
        <v>125</v>
      </c>
      <c r="H20" s="20" t="s">
        <v>180</v>
      </c>
    </row>
    <row r="22" customFormat="false" ht="15" hidden="false" customHeight="false" outlineLevel="0" collapsed="false">
      <c r="A22" s="1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1" t="s">
        <v>182</v>
      </c>
    </row>
    <row r="2" customFormat="false" ht="45.75" hidden="false" customHeight="true" outlineLevel="0" collapsed="false">
      <c r="A2" s="2" t="s">
        <v>183</v>
      </c>
    </row>
    <row r="5" customFormat="false" ht="33.75" hidden="false" customHeight="true" outlineLevel="0" collapsed="false">
      <c r="A5" s="3" t="s">
        <v>57</v>
      </c>
      <c r="B5" s="3" t="s">
        <v>184</v>
      </c>
      <c r="C5" s="3" t="s">
        <v>185</v>
      </c>
      <c r="D5" s="3" t="s">
        <v>186</v>
      </c>
      <c r="E5" s="3" t="s">
        <v>187</v>
      </c>
      <c r="F5" s="3" t="s">
        <v>188</v>
      </c>
      <c r="G5" s="3" t="s">
        <v>62</v>
      </c>
    </row>
    <row r="6" customFormat="false" ht="15" hidden="false" customHeight="false" outlineLevel="0" collapsed="false">
      <c r="A6" s="10" t="s">
        <v>189</v>
      </c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7" t="s">
        <v>190</v>
      </c>
      <c r="B7" s="16" t="n">
        <v>2271.74</v>
      </c>
      <c r="C7" s="9" t="s">
        <v>64</v>
      </c>
      <c r="D7" s="16" t="s">
        <v>64</v>
      </c>
      <c r="E7" s="16" t="n">
        <f aca="false">B7*0.3</f>
        <v>681.522</v>
      </c>
      <c r="F7" s="22" t="n">
        <f aca="false">B7+IF(ISNUMBER(D7),D7,0)+IF(ISNUMBER(E7),E7,0)</f>
        <v>2953.262</v>
      </c>
      <c r="G7" s="8" t="s">
        <v>191</v>
      </c>
    </row>
    <row r="8" customFormat="false" ht="15" hidden="false" customHeight="false" outlineLevel="0" collapsed="false">
      <c r="A8" s="4" t="s">
        <v>192</v>
      </c>
      <c r="B8" s="14" t="n">
        <v>2271.74</v>
      </c>
      <c r="C8" s="6" t="s">
        <v>193</v>
      </c>
      <c r="D8" s="14" t="n">
        <f aca="false">B8*0.1</f>
        <v>227.174</v>
      </c>
      <c r="E8" s="14" t="n">
        <f aca="false">B8*0.3</f>
        <v>681.522</v>
      </c>
      <c r="F8" s="23" t="n">
        <f aca="false">B8+IF(ISNUMBER(D8),D8,0)+IF(ISNUMBER(E8),E8,0)</f>
        <v>3180.436</v>
      </c>
      <c r="G8" s="5"/>
    </row>
    <row r="9" customFormat="false" ht="15" hidden="false" customHeight="false" outlineLevel="0" collapsed="false">
      <c r="A9" s="7" t="s">
        <v>194</v>
      </c>
      <c r="B9" s="16" t="n">
        <v>2271.74</v>
      </c>
      <c r="C9" s="9" t="s">
        <v>193</v>
      </c>
      <c r="D9" s="16" t="n">
        <f aca="false">B9*0.1</f>
        <v>227.174</v>
      </c>
      <c r="E9" s="16" t="n">
        <f aca="false">B9*0.3</f>
        <v>681.522</v>
      </c>
      <c r="F9" s="22" t="n">
        <f aca="false">B9+IF(ISNUMBER(D9),D9,0)+IF(ISNUMBER(E9),E9,0)</f>
        <v>3180.436</v>
      </c>
      <c r="G9" s="8"/>
    </row>
    <row r="10" customFormat="false" ht="15" hidden="false" customHeight="false" outlineLevel="0" collapsed="false">
      <c r="A10" s="4" t="s">
        <v>195</v>
      </c>
      <c r="B10" s="14" t="n">
        <v>2271.74</v>
      </c>
      <c r="C10" s="6" t="s">
        <v>193</v>
      </c>
      <c r="D10" s="14" t="n">
        <f aca="false">B10*0.1</f>
        <v>227.174</v>
      </c>
      <c r="E10" s="14" t="n">
        <f aca="false">B10*0.3</f>
        <v>681.522</v>
      </c>
      <c r="F10" s="23" t="n">
        <f aca="false">B10+IF(ISNUMBER(D10),D10,0)+IF(ISNUMBER(E10),E10,0)</f>
        <v>3180.436</v>
      </c>
      <c r="G10" s="5"/>
    </row>
    <row r="11" customFormat="false" ht="15" hidden="false" customHeight="false" outlineLevel="0" collapsed="false">
      <c r="A11" s="7" t="s">
        <v>196</v>
      </c>
      <c r="B11" s="16" t="n">
        <v>2271.74</v>
      </c>
      <c r="C11" s="9" t="s">
        <v>193</v>
      </c>
      <c r="D11" s="16" t="n">
        <f aca="false">B11*0.1</f>
        <v>227.174</v>
      </c>
      <c r="E11" s="16" t="n">
        <f aca="false">B11*0.3</f>
        <v>681.522</v>
      </c>
      <c r="F11" s="22" t="n">
        <f aca="false">B11+IF(ISNUMBER(D11),D11,0)+IF(ISNUMBER(E11),E11,0)</f>
        <v>3180.436</v>
      </c>
      <c r="G11" s="8"/>
    </row>
    <row r="12" customFormat="false" ht="15" hidden="false" customHeight="false" outlineLevel="0" collapsed="false">
      <c r="A12" s="4" t="s">
        <v>197</v>
      </c>
      <c r="B12" s="14" t="n">
        <v>2271.74</v>
      </c>
      <c r="C12" s="6" t="s">
        <v>193</v>
      </c>
      <c r="D12" s="14" t="n">
        <f aca="false">B12*0.1</f>
        <v>227.174</v>
      </c>
      <c r="E12" s="14" t="n">
        <f aca="false">B12*0.3</f>
        <v>681.522</v>
      </c>
      <c r="F12" s="23" t="n">
        <f aca="false">B12+IF(ISNUMBER(D12),D12,0)+IF(ISNUMBER(E12),E12,0)</f>
        <v>3180.436</v>
      </c>
      <c r="G12" s="5"/>
    </row>
    <row r="13" customFormat="false" ht="15" hidden="false" customHeight="false" outlineLevel="0" collapsed="false">
      <c r="A13" s="7" t="s">
        <v>198</v>
      </c>
      <c r="B13" s="16" t="n">
        <v>2271.74</v>
      </c>
      <c r="C13" s="9" t="s">
        <v>199</v>
      </c>
      <c r="D13" s="16" t="n">
        <f aca="false">B13*0.12</f>
        <v>272.6088</v>
      </c>
      <c r="E13" s="16" t="n">
        <f aca="false">B13*0.3</f>
        <v>681.522</v>
      </c>
      <c r="F13" s="22" t="n">
        <f aca="false">B13+IF(ISNUMBER(D13),D13,0)+IF(ISNUMBER(E13),E13,0)</f>
        <v>3225.8708</v>
      </c>
      <c r="G13" s="8"/>
    </row>
    <row r="14" customFormat="false" ht="15" hidden="false" customHeight="false" outlineLevel="0" collapsed="false">
      <c r="A14" s="4" t="s">
        <v>200</v>
      </c>
      <c r="B14" s="14" t="n">
        <v>1342.44</v>
      </c>
      <c r="C14" s="6" t="s">
        <v>64</v>
      </c>
      <c r="D14" s="14" t="s">
        <v>64</v>
      </c>
      <c r="E14" s="14" t="n">
        <f aca="false">B14*0.3</f>
        <v>402.732</v>
      </c>
      <c r="F14" s="23" t="n">
        <f aca="false">B14+IF(ISNUMBER(D14),D14,0)+IF(ISNUMBER(E14),E14,0)</f>
        <v>1745.172</v>
      </c>
      <c r="G14" s="5" t="s">
        <v>201</v>
      </c>
    </row>
    <row r="15" customFormat="false" ht="15" hidden="false" customHeight="false" outlineLevel="0" collapsed="false">
      <c r="A15" s="10" t="s">
        <v>202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4" t="s">
        <v>203</v>
      </c>
      <c r="B16" s="14" t="n">
        <v>2271.74</v>
      </c>
      <c r="C16" s="6" t="s">
        <v>204</v>
      </c>
      <c r="D16" s="14" t="n">
        <f aca="false">B16*0.05</f>
        <v>113.587</v>
      </c>
      <c r="E16" s="14" t="n">
        <f aca="false">B16*0.3</f>
        <v>681.522</v>
      </c>
      <c r="F16" s="23" t="n">
        <f aca="false">B16+IF(ISNUMBER(D16),D16,0)+IF(ISNUMBER(E16),E16,0)</f>
        <v>3066.849</v>
      </c>
      <c r="G16" s="5"/>
    </row>
    <row r="17" customFormat="false" ht="15" hidden="false" customHeight="false" outlineLevel="0" collapsed="false">
      <c r="A17" s="7" t="s">
        <v>205</v>
      </c>
      <c r="B17" s="16" t="n">
        <v>2271.74</v>
      </c>
      <c r="C17" s="9" t="s">
        <v>206</v>
      </c>
      <c r="D17" s="16" t="n">
        <f aca="false">B17*0.1177</f>
        <v>267.383798</v>
      </c>
      <c r="E17" s="16" t="n">
        <f aca="false">B17*0.3</f>
        <v>681.522</v>
      </c>
      <c r="F17" s="22" t="n">
        <f aca="false">B17+IF(ISNUMBER(D17),D17,0)+IF(ISNUMBER(E17),E17,0)</f>
        <v>3220.645798</v>
      </c>
      <c r="G17" s="8"/>
    </row>
    <row r="18" customFormat="false" ht="15" hidden="false" customHeight="false" outlineLevel="0" collapsed="false">
      <c r="A18" s="4" t="s">
        <v>207</v>
      </c>
      <c r="B18" s="14" t="n">
        <v>2271.74</v>
      </c>
      <c r="C18" s="6" t="s">
        <v>206</v>
      </c>
      <c r="D18" s="14" t="n">
        <f aca="false">B18*0.1177</f>
        <v>267.383798</v>
      </c>
      <c r="E18" s="14" t="n">
        <f aca="false">B18*0.3</f>
        <v>681.522</v>
      </c>
      <c r="F18" s="23" t="n">
        <f aca="false">B18+IF(ISNUMBER(D18),D18,0)+IF(ISNUMBER(E18),E18,0)</f>
        <v>3220.645798</v>
      </c>
      <c r="G18" s="5"/>
    </row>
    <row r="19" customFormat="false" ht="15" hidden="false" customHeight="false" outlineLevel="0" collapsed="false">
      <c r="A19" s="7" t="s">
        <v>208</v>
      </c>
      <c r="B19" s="16" t="n">
        <v>2271.74</v>
      </c>
      <c r="C19" s="9" t="s">
        <v>209</v>
      </c>
      <c r="D19" s="16" t="n">
        <f aca="false">B19*0.7471</f>
        <v>1697.216954</v>
      </c>
      <c r="E19" s="16" t="n">
        <f aca="false">B19*0.3</f>
        <v>681.522</v>
      </c>
      <c r="F19" s="22" t="n">
        <f aca="false">B19+IF(ISNUMBER(D19),D19,0)+IF(ISNUMBER(E19),E19,0)</f>
        <v>4650.478954</v>
      </c>
      <c r="G19" s="8"/>
    </row>
    <row r="20" customFormat="false" ht="15" hidden="false" customHeight="false" outlineLevel="0" collapsed="false">
      <c r="A20" s="10" t="s">
        <v>210</v>
      </c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7" t="s">
        <v>211</v>
      </c>
      <c r="B21" s="16" t="n">
        <v>1703.91</v>
      </c>
      <c r="C21" s="9" t="s">
        <v>64</v>
      </c>
      <c r="D21" s="16" t="s">
        <v>64</v>
      </c>
      <c r="E21" s="16" t="s">
        <v>64</v>
      </c>
      <c r="F21" s="22" t="n">
        <f aca="false">B21+IF(ISNUMBER(D21),D21,0)+IF(ISNUMBER(E21),E21,0)</f>
        <v>1703.91</v>
      </c>
      <c r="G21" s="8" t="s">
        <v>212</v>
      </c>
    </row>
    <row r="22" customFormat="false" ht="15" hidden="false" customHeight="false" outlineLevel="0" collapsed="false">
      <c r="A22" s="4" t="s">
        <v>213</v>
      </c>
      <c r="B22" s="14" t="n">
        <v>1874.39</v>
      </c>
      <c r="C22" s="6" t="s">
        <v>64</v>
      </c>
      <c r="D22" s="14" t="s">
        <v>64</v>
      </c>
      <c r="E22" s="14" t="s">
        <v>64</v>
      </c>
      <c r="F22" s="23" t="n">
        <f aca="false">B22+IF(ISNUMBER(D22),D22,0)+IF(ISNUMBER(E22),E22,0)</f>
        <v>1874.39</v>
      </c>
      <c r="G22" s="5"/>
    </row>
    <row r="23" customFormat="false" ht="22.35" hidden="false" customHeight="false" outlineLevel="0" collapsed="false">
      <c r="A23" s="7" t="s">
        <v>214</v>
      </c>
      <c r="B23" s="16" t="n">
        <v>2176.5</v>
      </c>
      <c r="C23" s="9" t="s">
        <v>64</v>
      </c>
      <c r="D23" s="16" t="s">
        <v>64</v>
      </c>
      <c r="E23" s="16" t="s">
        <v>64</v>
      </c>
      <c r="F23" s="22" t="n">
        <f aca="false">B23+IF(ISNUMBER(D23),D23,0)+IF(ISNUMBER(E23),E23,0)</f>
        <v>2176.5</v>
      </c>
      <c r="G23" s="8" t="s">
        <v>215</v>
      </c>
    </row>
    <row r="24" customFormat="false" ht="15" hidden="false" customHeight="false" outlineLevel="0" collapsed="false">
      <c r="A24" s="4" t="s">
        <v>216</v>
      </c>
      <c r="B24" s="14" t="n">
        <v>2498.88</v>
      </c>
      <c r="C24" s="6" t="s">
        <v>64</v>
      </c>
      <c r="D24" s="14" t="s">
        <v>64</v>
      </c>
      <c r="E24" s="14" t="s">
        <v>64</v>
      </c>
      <c r="F24" s="23" t="n">
        <f aca="false">B24+IF(ISNUMBER(D24),D24,0)+IF(ISNUMBER(E24),E24,0)</f>
        <v>2498.88</v>
      </c>
      <c r="G24" s="5"/>
    </row>
    <row r="25" customFormat="false" ht="15" hidden="false" customHeight="false" outlineLevel="0" collapsed="false">
      <c r="A25" s="7" t="s">
        <v>217</v>
      </c>
      <c r="B25" s="16" t="n">
        <v>3287.45</v>
      </c>
      <c r="C25" s="9" t="s">
        <v>64</v>
      </c>
      <c r="D25" s="16" t="s">
        <v>64</v>
      </c>
      <c r="E25" s="16" t="n">
        <f aca="false">B25*0.3</f>
        <v>986.235</v>
      </c>
      <c r="F25" s="22" t="n">
        <f aca="false">B25+IF(ISNUMBER(D25),D25,0)+IF(ISNUMBER(E25),E25,0)</f>
        <v>4273.685</v>
      </c>
      <c r="G25" s="8" t="s">
        <v>218</v>
      </c>
    </row>
    <row r="26" customFormat="false" ht="15" hidden="false" customHeight="false" outlineLevel="0" collapsed="false">
      <c r="A26" s="4" t="s">
        <v>219</v>
      </c>
      <c r="B26" s="14" t="n">
        <v>3969.05</v>
      </c>
      <c r="C26" s="6" t="s">
        <v>64</v>
      </c>
      <c r="D26" s="14" t="s">
        <v>64</v>
      </c>
      <c r="E26" s="14" t="n">
        <f aca="false">B26*0.3</f>
        <v>1190.715</v>
      </c>
      <c r="F26" s="23" t="n">
        <f aca="false">B26+IF(ISNUMBER(D26),D26,0)+IF(ISNUMBER(E26),E26,0)</f>
        <v>5159.765</v>
      </c>
      <c r="G26" s="5" t="s">
        <v>218</v>
      </c>
    </row>
    <row r="27" customFormat="false" ht="15" hidden="false" customHeight="false" outlineLevel="0" collapsed="false">
      <c r="A27" s="7" t="s">
        <v>220</v>
      </c>
      <c r="B27" s="16" t="n">
        <v>4762.9</v>
      </c>
      <c r="C27" s="9" t="s">
        <v>64</v>
      </c>
      <c r="D27" s="16" t="s">
        <v>64</v>
      </c>
      <c r="E27" s="16" t="n">
        <f aca="false">B27*0.3</f>
        <v>1428.87</v>
      </c>
      <c r="F27" s="22" t="n">
        <f aca="false">B27+IF(ISNUMBER(D27),D27,0)+IF(ISNUMBER(E27),E27,0)</f>
        <v>6191.77</v>
      </c>
      <c r="G27" s="8" t="s">
        <v>218</v>
      </c>
    </row>
    <row r="29" customFormat="false" ht="15" hidden="false" customHeight="false" outlineLevel="0" collapsed="false">
      <c r="A29" s="10" t="s">
        <v>221</v>
      </c>
      <c r="B29" s="11"/>
      <c r="C29" s="11"/>
      <c r="D29" s="11"/>
      <c r="E29" s="11"/>
      <c r="F29" s="11"/>
      <c r="G29" s="11"/>
    </row>
    <row r="30" customFormat="false" ht="32.8" hidden="false" customHeight="false" outlineLevel="0" collapsed="false">
      <c r="A30" s="4" t="s">
        <v>222</v>
      </c>
      <c r="B30" s="6" t="s">
        <v>80</v>
      </c>
      <c r="C30" s="6"/>
      <c r="D30" s="6"/>
      <c r="E30" s="6"/>
      <c r="F30" s="6"/>
      <c r="G30" s="5" t="s">
        <v>223</v>
      </c>
    </row>
    <row r="31" customFormat="false" ht="15" hidden="false" customHeight="false" outlineLevel="0" collapsed="false">
      <c r="A31" s="7" t="s">
        <v>224</v>
      </c>
      <c r="B31" s="9" t="s">
        <v>70</v>
      </c>
      <c r="C31" s="9"/>
      <c r="D31" s="9"/>
      <c r="E31" s="9"/>
      <c r="F31" s="9"/>
      <c r="G31" s="8" t="s">
        <v>225</v>
      </c>
    </row>
    <row r="32" customFormat="false" ht="15" hidden="false" customHeight="false" outlineLevel="0" collapsed="false">
      <c r="A32" s="4" t="s">
        <v>226</v>
      </c>
      <c r="B32" s="6" t="s">
        <v>227</v>
      </c>
      <c r="C32" s="6"/>
      <c r="D32" s="6"/>
      <c r="E32" s="6"/>
      <c r="F32" s="6"/>
      <c r="G32" s="5" t="s">
        <v>228</v>
      </c>
    </row>
    <row r="33" customFormat="false" ht="22.35" hidden="false" customHeight="false" outlineLevel="0" collapsed="false">
      <c r="A33" s="7" t="s">
        <v>229</v>
      </c>
      <c r="B33" s="9" t="s">
        <v>230</v>
      </c>
      <c r="C33" s="9"/>
      <c r="D33" s="9"/>
      <c r="E33" s="9"/>
      <c r="F33" s="9"/>
      <c r="G33" s="8" t="s">
        <v>231</v>
      </c>
    </row>
    <row r="34" customFormat="false" ht="15" hidden="false" customHeight="false" outlineLevel="0" collapsed="false">
      <c r="A34" s="4" t="s">
        <v>232</v>
      </c>
      <c r="B34" s="6" t="s">
        <v>233</v>
      </c>
      <c r="C34" s="6"/>
      <c r="D34" s="6"/>
      <c r="E34" s="6"/>
      <c r="F34" s="6"/>
      <c r="G34" s="5"/>
    </row>
    <row r="35" customFormat="false" ht="15" hidden="false" customHeight="false" outlineLevel="0" collapsed="false">
      <c r="A35" s="7" t="s">
        <v>234</v>
      </c>
      <c r="B35" s="9" t="s">
        <v>235</v>
      </c>
      <c r="C35" s="9"/>
      <c r="D35" s="9"/>
      <c r="E35" s="9"/>
      <c r="F35" s="9"/>
      <c r="G35" s="8" t="s">
        <v>236</v>
      </c>
    </row>
    <row r="37" customFormat="false" ht="15" hidden="false" customHeight="false" outlineLevel="0" collapsed="false">
      <c r="A37" s="18" t="s">
        <v>237</v>
      </c>
    </row>
    <row r="38" customFormat="false" ht="15" hidden="false" customHeight="false" outlineLevel="0" collapsed="false">
      <c r="A38" s="19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1" t="s">
        <v>239</v>
      </c>
    </row>
    <row r="2" customFormat="false" ht="45.75" hidden="false" customHeight="true" outlineLevel="0" collapsed="false">
      <c r="A2" s="2" t="s">
        <v>240</v>
      </c>
    </row>
    <row r="5" customFormat="false" ht="33.75" hidden="false" customHeight="true" outlineLevel="0" collapsed="false">
      <c r="A5" s="3" t="s">
        <v>113</v>
      </c>
      <c r="B5" s="3" t="s">
        <v>114</v>
      </c>
      <c r="C5" s="3" t="s">
        <v>241</v>
      </c>
      <c r="D5" s="3" t="s">
        <v>116</v>
      </c>
      <c r="E5" s="3" t="s">
        <v>118</v>
      </c>
      <c r="F5" s="3" t="s">
        <v>119</v>
      </c>
      <c r="G5" s="3" t="s">
        <v>242</v>
      </c>
    </row>
    <row r="6" customFormat="false" ht="15" hidden="false" customHeight="false" outlineLevel="0" collapsed="false">
      <c r="A6" s="4" t="s">
        <v>121</v>
      </c>
      <c r="B6" s="5" t="s">
        <v>243</v>
      </c>
      <c r="C6" s="5" t="s">
        <v>244</v>
      </c>
      <c r="D6" s="5" t="s">
        <v>245</v>
      </c>
      <c r="E6" s="14" t="n">
        <v>523.488</v>
      </c>
      <c r="F6" s="6" t="s">
        <v>125</v>
      </c>
      <c r="G6" s="5" t="s">
        <v>246</v>
      </c>
    </row>
    <row r="7" customFormat="false" ht="15" hidden="false" customHeight="false" outlineLevel="0" collapsed="false">
      <c r="A7" s="7" t="s">
        <v>247</v>
      </c>
      <c r="B7" s="8" t="s">
        <v>248</v>
      </c>
      <c r="C7" s="8" t="s">
        <v>249</v>
      </c>
      <c r="D7" s="8" t="s">
        <v>250</v>
      </c>
      <c r="E7" s="16" t="n">
        <v>198.03</v>
      </c>
      <c r="F7" s="9" t="s">
        <v>125</v>
      </c>
      <c r="G7" s="8" t="s">
        <v>251</v>
      </c>
    </row>
    <row r="8" customFormat="false" ht="32.8" hidden="false" customHeight="false" outlineLevel="0" collapsed="false">
      <c r="A8" s="4" t="s">
        <v>141</v>
      </c>
      <c r="B8" s="5" t="s">
        <v>252</v>
      </c>
      <c r="C8" s="5" t="s">
        <v>253</v>
      </c>
      <c r="D8" s="5" t="s">
        <v>254</v>
      </c>
      <c r="E8" s="14"/>
      <c r="F8" s="6" t="s">
        <v>125</v>
      </c>
      <c r="G8" s="5" t="s">
        <v>255</v>
      </c>
    </row>
    <row r="9" customFormat="false" ht="22.35" hidden="false" customHeight="false" outlineLevel="0" collapsed="false">
      <c r="A9" s="7" t="s">
        <v>256</v>
      </c>
      <c r="B9" s="8" t="s">
        <v>257</v>
      </c>
      <c r="C9" s="8" t="s">
        <v>129</v>
      </c>
      <c r="D9" s="8" t="s">
        <v>258</v>
      </c>
      <c r="E9" s="16"/>
      <c r="F9" s="9" t="s">
        <v>125</v>
      </c>
      <c r="G9" s="8" t="s">
        <v>259</v>
      </c>
    </row>
    <row r="10" customFormat="false" ht="15" hidden="false" customHeight="false" outlineLevel="0" collapsed="false">
      <c r="A10" s="4" t="s">
        <v>260</v>
      </c>
      <c r="B10" s="5" t="s">
        <v>261</v>
      </c>
      <c r="C10" s="5" t="s">
        <v>129</v>
      </c>
      <c r="D10" s="5" t="s">
        <v>258</v>
      </c>
      <c r="E10" s="14"/>
      <c r="F10" s="6" t="s">
        <v>125</v>
      </c>
      <c r="G10" s="5" t="s">
        <v>259</v>
      </c>
    </row>
    <row r="11" customFormat="false" ht="15" hidden="false" customHeight="false" outlineLevel="0" collapsed="false">
      <c r="A11" s="7" t="s">
        <v>262</v>
      </c>
      <c r="B11" s="8" t="s">
        <v>263</v>
      </c>
      <c r="C11" s="8" t="s">
        <v>129</v>
      </c>
      <c r="D11" s="8" t="s">
        <v>258</v>
      </c>
      <c r="E11" s="16"/>
      <c r="F11" s="9" t="s">
        <v>125</v>
      </c>
      <c r="G11" s="8" t="s">
        <v>259</v>
      </c>
    </row>
    <row r="12" customFormat="false" ht="15" hidden="false" customHeight="false" outlineLevel="0" collapsed="false">
      <c r="A12" s="4" t="s">
        <v>264</v>
      </c>
      <c r="B12" s="5" t="s">
        <v>265</v>
      </c>
      <c r="C12" s="5" t="s">
        <v>129</v>
      </c>
      <c r="D12" s="5" t="s">
        <v>258</v>
      </c>
      <c r="E12" s="14"/>
      <c r="F12" s="6" t="s">
        <v>125</v>
      </c>
      <c r="G12" s="5" t="s">
        <v>266</v>
      </c>
    </row>
    <row r="13" customFormat="false" ht="15" hidden="false" customHeight="false" outlineLevel="0" collapsed="false">
      <c r="A13" s="7" t="s">
        <v>136</v>
      </c>
      <c r="B13" s="8" t="s">
        <v>137</v>
      </c>
      <c r="C13" s="8" t="s">
        <v>267</v>
      </c>
      <c r="D13" s="8" t="s">
        <v>139</v>
      </c>
      <c r="E13" s="16"/>
      <c r="F13" s="9" t="s">
        <v>125</v>
      </c>
      <c r="G13" s="8" t="s">
        <v>268</v>
      </c>
    </row>
    <row r="14" customFormat="false" ht="15" hidden="false" customHeight="false" outlineLevel="0" collapsed="false">
      <c r="A14" s="4" t="s">
        <v>269</v>
      </c>
      <c r="B14" s="5" t="s">
        <v>270</v>
      </c>
      <c r="C14" s="5" t="s">
        <v>155</v>
      </c>
      <c r="D14" s="5" t="s">
        <v>271</v>
      </c>
      <c r="E14" s="14"/>
      <c r="F14" s="6" t="s">
        <v>125</v>
      </c>
      <c r="G14" s="5" t="s">
        <v>64</v>
      </c>
    </row>
    <row r="15" customFormat="false" ht="15" hidden="false" customHeight="false" outlineLevel="0" collapsed="false">
      <c r="A15" s="7" t="s">
        <v>149</v>
      </c>
      <c r="B15" s="8" t="s">
        <v>272</v>
      </c>
      <c r="C15" s="8" t="s">
        <v>129</v>
      </c>
      <c r="D15" s="8" t="s">
        <v>273</v>
      </c>
      <c r="E15" s="16"/>
      <c r="F15" s="9" t="s">
        <v>125</v>
      </c>
      <c r="G15" s="8" t="s">
        <v>274</v>
      </c>
    </row>
    <row r="17" customFormat="false" ht="15" hidden="false" customHeight="false" outlineLevel="0" collapsed="false">
      <c r="A17" s="10" t="s">
        <v>275</v>
      </c>
      <c r="B17" s="11"/>
      <c r="C17" s="11"/>
      <c r="D17" s="11"/>
      <c r="E17" s="11"/>
      <c r="F17" s="11"/>
      <c r="G17" s="11"/>
    </row>
    <row r="18" customFormat="false" ht="22.35" hidden="false" customHeight="false" outlineLevel="0" collapsed="false">
      <c r="A18" s="4" t="s">
        <v>276</v>
      </c>
      <c r="B18" s="6"/>
      <c r="C18" s="6"/>
      <c r="D18" s="5" t="s">
        <v>277</v>
      </c>
      <c r="E18" s="6"/>
      <c r="F18" s="6" t="s">
        <v>64</v>
      </c>
      <c r="G18" s="5" t="s">
        <v>278</v>
      </c>
    </row>
    <row r="19" customFormat="false" ht="22.35" hidden="false" customHeight="false" outlineLevel="0" collapsed="false">
      <c r="A19" s="7" t="s">
        <v>279</v>
      </c>
      <c r="B19" s="9"/>
      <c r="C19" s="9"/>
      <c r="D19" s="8" t="s">
        <v>280</v>
      </c>
      <c r="E19" s="9"/>
      <c r="F19" s="9" t="s">
        <v>64</v>
      </c>
      <c r="G19" s="8" t="s">
        <v>281</v>
      </c>
    </row>
    <row r="20" customFormat="false" ht="22.35" hidden="false" customHeight="false" outlineLevel="0" collapsed="false">
      <c r="A20" s="4" t="s">
        <v>282</v>
      </c>
      <c r="B20" s="6"/>
      <c r="C20" s="6"/>
      <c r="D20" s="5" t="s">
        <v>283</v>
      </c>
      <c r="E20" s="6"/>
      <c r="F20" s="6" t="s">
        <v>64</v>
      </c>
      <c r="G20" s="5" t="s">
        <v>284</v>
      </c>
    </row>
    <row r="21" customFormat="false" ht="15" hidden="false" customHeight="false" outlineLevel="0" collapsed="false">
      <c r="A21" s="7" t="s">
        <v>285</v>
      </c>
      <c r="B21" s="9"/>
      <c r="C21" s="9"/>
      <c r="D21" s="8" t="s">
        <v>286</v>
      </c>
      <c r="E21" s="9"/>
      <c r="F21" s="9" t="s">
        <v>64</v>
      </c>
      <c r="G21" s="8" t="s">
        <v>287</v>
      </c>
    </row>
    <row r="23" customFormat="false" ht="15" hidden="false" customHeight="false" outlineLevel="0" collapsed="false">
      <c r="A23" s="19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289</v>
      </c>
    </row>
    <row r="2" customFormat="false" ht="45.75" hidden="false" customHeight="true" outlineLevel="0" collapsed="false">
      <c r="A2" s="2" t="s">
        <v>290</v>
      </c>
    </row>
    <row r="5" customFormat="false" ht="33.75" hidden="false" customHeight="true" outlineLevel="0" collapsed="false">
      <c r="A5" s="3" t="s">
        <v>57</v>
      </c>
      <c r="B5" s="3" t="s">
        <v>291</v>
      </c>
      <c r="C5" s="3" t="s">
        <v>58</v>
      </c>
      <c r="D5" s="3" t="s">
        <v>59</v>
      </c>
      <c r="E5" s="3" t="s">
        <v>62</v>
      </c>
    </row>
    <row r="6" customFormat="false" ht="15" hidden="false" customHeight="false" outlineLevel="0" collapsed="false">
      <c r="A6" s="10" t="s">
        <v>292</v>
      </c>
      <c r="B6" s="11"/>
      <c r="C6" s="11"/>
      <c r="D6" s="11"/>
      <c r="E6" s="11"/>
    </row>
    <row r="7" customFormat="false" ht="15" hidden="false" customHeight="false" outlineLevel="0" collapsed="false">
      <c r="A7" s="7" t="s">
        <v>293</v>
      </c>
      <c r="B7" s="9" t="s">
        <v>294</v>
      </c>
      <c r="C7" s="16" t="n">
        <v>1805.43</v>
      </c>
      <c r="D7" s="16" t="n">
        <f aca="false">C7/220</f>
        <v>8.2065</v>
      </c>
      <c r="E7" s="8" t="s">
        <v>295</v>
      </c>
    </row>
    <row r="8" customFormat="false" ht="15" hidden="false" customHeight="false" outlineLevel="0" collapsed="false">
      <c r="A8" s="4" t="s">
        <v>296</v>
      </c>
      <c r="B8" s="6" t="s">
        <v>294</v>
      </c>
      <c r="C8" s="14" t="n">
        <v>1805.43</v>
      </c>
      <c r="D8" s="14" t="n">
        <f aca="false">C8/220</f>
        <v>8.2065</v>
      </c>
      <c r="E8" s="5"/>
    </row>
    <row r="9" customFormat="false" ht="15" hidden="false" customHeight="false" outlineLevel="0" collapsed="false">
      <c r="A9" s="7" t="s">
        <v>297</v>
      </c>
      <c r="B9" s="9" t="s">
        <v>294</v>
      </c>
      <c r="C9" s="16" t="n">
        <v>1805.43</v>
      </c>
      <c r="D9" s="16" t="n">
        <f aca="false">C9/220</f>
        <v>8.2065</v>
      </c>
      <c r="E9" s="8"/>
    </row>
    <row r="10" customFormat="false" ht="15" hidden="false" customHeight="false" outlineLevel="0" collapsed="false">
      <c r="A10" s="4" t="s">
        <v>298</v>
      </c>
      <c r="B10" s="6" t="s">
        <v>294</v>
      </c>
      <c r="C10" s="14" t="n">
        <v>1805.43</v>
      </c>
      <c r="D10" s="14" t="n">
        <f aca="false">C10/220</f>
        <v>8.2065</v>
      </c>
      <c r="E10" s="5"/>
    </row>
    <row r="11" customFormat="false" ht="15" hidden="false" customHeight="false" outlineLevel="0" collapsed="false">
      <c r="A11" s="7" t="s">
        <v>299</v>
      </c>
      <c r="B11" s="9" t="s">
        <v>294</v>
      </c>
      <c r="C11" s="16" t="n">
        <v>1805.43</v>
      </c>
      <c r="D11" s="16" t="n">
        <f aca="false">C11/220</f>
        <v>8.2065</v>
      </c>
      <c r="E11" s="8"/>
    </row>
    <row r="12" customFormat="false" ht="15" hidden="false" customHeight="false" outlineLevel="0" collapsed="false">
      <c r="A12" s="4" t="s">
        <v>300</v>
      </c>
      <c r="B12" s="6" t="s">
        <v>294</v>
      </c>
      <c r="C12" s="14" t="n">
        <v>1805.43</v>
      </c>
      <c r="D12" s="14" t="n">
        <f aca="false">C12/220</f>
        <v>8.2065</v>
      </c>
      <c r="E12" s="5"/>
    </row>
    <row r="13" customFormat="false" ht="15" hidden="false" customHeight="false" outlineLevel="0" collapsed="false">
      <c r="A13" s="7" t="s">
        <v>301</v>
      </c>
      <c r="B13" s="9" t="s">
        <v>294</v>
      </c>
      <c r="C13" s="16" t="n">
        <v>1805.43</v>
      </c>
      <c r="D13" s="16" t="n">
        <f aca="false">C13/220</f>
        <v>8.2065</v>
      </c>
      <c r="E13" s="8"/>
    </row>
    <row r="14" customFormat="false" ht="15" hidden="false" customHeight="false" outlineLevel="0" collapsed="false">
      <c r="A14" s="4" t="s">
        <v>302</v>
      </c>
      <c r="B14" s="6" t="s">
        <v>294</v>
      </c>
      <c r="C14" s="14" t="n">
        <v>1805.43</v>
      </c>
      <c r="D14" s="14" t="n">
        <f aca="false">C14/220</f>
        <v>8.2065</v>
      </c>
      <c r="E14" s="5"/>
    </row>
    <row r="15" customFormat="false" ht="15" hidden="false" customHeight="false" outlineLevel="0" collapsed="false">
      <c r="A15" s="7" t="s">
        <v>303</v>
      </c>
      <c r="B15" s="9" t="s">
        <v>294</v>
      </c>
      <c r="C15" s="16" t="n">
        <v>1805.43</v>
      </c>
      <c r="D15" s="16" t="n">
        <f aca="false">C15/220</f>
        <v>8.2065</v>
      </c>
      <c r="E15" s="8"/>
    </row>
    <row r="16" customFormat="false" ht="15" hidden="false" customHeight="false" outlineLevel="0" collapsed="false">
      <c r="A16" s="4" t="s">
        <v>48</v>
      </c>
      <c r="B16" s="6" t="s">
        <v>294</v>
      </c>
      <c r="C16" s="14" t="n">
        <v>1805.43</v>
      </c>
      <c r="D16" s="14" t="n">
        <f aca="false">C16/220</f>
        <v>8.2065</v>
      </c>
      <c r="E16" s="5"/>
    </row>
    <row r="17" customFormat="false" ht="15" hidden="false" customHeight="false" outlineLevel="0" collapsed="false">
      <c r="A17" s="7" t="s">
        <v>213</v>
      </c>
      <c r="B17" s="9" t="s">
        <v>294</v>
      </c>
      <c r="C17" s="16" t="n">
        <v>1805.43</v>
      </c>
      <c r="D17" s="16" t="n">
        <f aca="false">C17/220</f>
        <v>8.2065</v>
      </c>
      <c r="E17" s="8"/>
    </row>
    <row r="18" customFormat="false" ht="15" hidden="false" customHeight="false" outlineLevel="0" collapsed="false">
      <c r="A18" s="4" t="s">
        <v>47</v>
      </c>
      <c r="B18" s="6" t="s">
        <v>294</v>
      </c>
      <c r="C18" s="14" t="n">
        <v>1805.43</v>
      </c>
      <c r="D18" s="14" t="n">
        <f aca="false">C18/220</f>
        <v>8.2065</v>
      </c>
      <c r="E18" s="5"/>
    </row>
    <row r="19" customFormat="false" ht="15" hidden="false" customHeight="false" outlineLevel="0" collapsed="false">
      <c r="A19" s="7" t="s">
        <v>46</v>
      </c>
      <c r="B19" s="9" t="s">
        <v>294</v>
      </c>
      <c r="C19" s="16" t="n">
        <v>1805.43</v>
      </c>
      <c r="D19" s="16" t="n">
        <f aca="false">C19/220</f>
        <v>8.2065</v>
      </c>
      <c r="E19" s="8"/>
    </row>
    <row r="20" customFormat="false" ht="15" hidden="false" customHeight="false" outlineLevel="0" collapsed="false">
      <c r="A20" s="4" t="s">
        <v>304</v>
      </c>
      <c r="B20" s="6" t="s">
        <v>294</v>
      </c>
      <c r="C20" s="14" t="n">
        <v>1805.43</v>
      </c>
      <c r="D20" s="14" t="n">
        <f aca="false">C20/220</f>
        <v>8.2065</v>
      </c>
      <c r="E20" s="5"/>
    </row>
    <row r="21" customFormat="false" ht="15" hidden="false" customHeight="false" outlineLevel="0" collapsed="false">
      <c r="A21" s="7" t="s">
        <v>44</v>
      </c>
      <c r="B21" s="9" t="s">
        <v>294</v>
      </c>
      <c r="C21" s="16" t="n">
        <v>1805.43</v>
      </c>
      <c r="D21" s="16" t="n">
        <f aca="false">C21/220</f>
        <v>8.2065</v>
      </c>
      <c r="E21" s="8" t="s">
        <v>305</v>
      </c>
    </row>
    <row r="22" customFormat="false" ht="15" hidden="false" customHeight="false" outlineLevel="0" collapsed="false">
      <c r="A22" s="4" t="s">
        <v>74</v>
      </c>
      <c r="B22" s="6" t="s">
        <v>294</v>
      </c>
      <c r="C22" s="14" t="n">
        <v>1805.43</v>
      </c>
      <c r="D22" s="14" t="n">
        <f aca="false">C22/220</f>
        <v>8.2065</v>
      </c>
      <c r="E22" s="5" t="s">
        <v>306</v>
      </c>
    </row>
    <row r="23" customFormat="false" ht="15" hidden="false" customHeight="false" outlineLevel="0" collapsed="false">
      <c r="A23" s="7" t="s">
        <v>307</v>
      </c>
      <c r="B23" s="9" t="s">
        <v>294</v>
      </c>
      <c r="C23" s="16" t="n">
        <v>2031.57</v>
      </c>
      <c r="D23" s="16" t="n">
        <f aca="false">C23/220</f>
        <v>9.23440909090909</v>
      </c>
      <c r="E23" s="8"/>
    </row>
    <row r="24" customFormat="false" ht="15" hidden="false" customHeight="false" outlineLevel="0" collapsed="false">
      <c r="A24" s="4" t="s">
        <v>308</v>
      </c>
      <c r="B24" s="6" t="s">
        <v>294</v>
      </c>
      <c r="C24" s="14" t="n">
        <v>2100.46</v>
      </c>
      <c r="D24" s="14" t="n">
        <f aca="false">C24/220</f>
        <v>9.54754545454546</v>
      </c>
      <c r="E24" s="5"/>
    </row>
    <row r="25" customFormat="false" ht="15" hidden="false" customHeight="false" outlineLevel="0" collapsed="false">
      <c r="A25" s="7" t="s">
        <v>309</v>
      </c>
      <c r="B25" s="9" t="s">
        <v>294</v>
      </c>
      <c r="C25" s="16" t="n">
        <v>2144.33</v>
      </c>
      <c r="D25" s="16" t="n">
        <f aca="false">C25/220</f>
        <v>9.74695454545454</v>
      </c>
      <c r="E25" s="8" t="s">
        <v>310</v>
      </c>
    </row>
    <row r="27" customFormat="false" ht="15" hidden="false" customHeight="false" outlineLevel="0" collapsed="false">
      <c r="A27" s="10" t="s">
        <v>311</v>
      </c>
      <c r="B27" s="11"/>
      <c r="C27" s="11"/>
      <c r="D27" s="11"/>
      <c r="E27" s="11"/>
    </row>
    <row r="28" customFormat="false" ht="15" hidden="false" customHeight="false" outlineLevel="0" collapsed="false">
      <c r="A28" s="4" t="s">
        <v>42</v>
      </c>
      <c r="B28" s="6" t="s">
        <v>312</v>
      </c>
      <c r="C28" s="14" t="n">
        <v>2031.57</v>
      </c>
      <c r="D28" s="14" t="n">
        <f aca="false">C28/220</f>
        <v>9.23440909090909</v>
      </c>
      <c r="E28" s="5" t="s">
        <v>313</v>
      </c>
    </row>
    <row r="29" customFormat="false" ht="15" hidden="false" customHeight="false" outlineLevel="0" collapsed="false">
      <c r="A29" s="7" t="s">
        <v>314</v>
      </c>
      <c r="B29" s="9" t="s">
        <v>312</v>
      </c>
      <c r="C29" s="16" t="n">
        <v>2031.57</v>
      </c>
      <c r="D29" s="16" t="n">
        <f aca="false">C29/220</f>
        <v>9.23440909090909</v>
      </c>
      <c r="E29" s="8"/>
    </row>
    <row r="30" customFormat="false" ht="15" hidden="false" customHeight="false" outlineLevel="0" collapsed="false">
      <c r="A30" s="4" t="s">
        <v>315</v>
      </c>
      <c r="B30" s="6" t="s">
        <v>312</v>
      </c>
      <c r="C30" s="14" t="n">
        <v>2031.57</v>
      </c>
      <c r="D30" s="14" t="n">
        <f aca="false">C30/220</f>
        <v>9.23440909090909</v>
      </c>
      <c r="E30" s="5" t="s">
        <v>316</v>
      </c>
    </row>
    <row r="31" customFormat="false" ht="15" hidden="false" customHeight="false" outlineLevel="0" collapsed="false">
      <c r="A31" s="7" t="s">
        <v>307</v>
      </c>
      <c r="B31" s="9" t="s">
        <v>312</v>
      </c>
      <c r="C31" s="16" t="n">
        <v>2031.57</v>
      </c>
      <c r="D31" s="16" t="n">
        <f aca="false">C31/220</f>
        <v>9.23440909090909</v>
      </c>
      <c r="E31" s="8"/>
    </row>
    <row r="32" customFormat="false" ht="15" hidden="false" customHeight="false" outlineLevel="0" collapsed="false">
      <c r="A32" s="4" t="s">
        <v>317</v>
      </c>
      <c r="B32" s="6" t="s">
        <v>312</v>
      </c>
      <c r="C32" s="14" t="n">
        <v>2031.57</v>
      </c>
      <c r="D32" s="14" t="n">
        <f aca="false">C32/220</f>
        <v>9.23440909090909</v>
      </c>
      <c r="E32" s="5"/>
    </row>
    <row r="33" customFormat="false" ht="15" hidden="false" customHeight="false" outlineLevel="0" collapsed="false">
      <c r="A33" s="7" t="s">
        <v>318</v>
      </c>
      <c r="B33" s="9" t="s">
        <v>312</v>
      </c>
      <c r="C33" s="16" t="n">
        <v>1805.43</v>
      </c>
      <c r="D33" s="16" t="n">
        <f aca="false">C33/220</f>
        <v>8.2065</v>
      </c>
      <c r="E33" s="8"/>
    </row>
    <row r="34" customFormat="false" ht="15" hidden="false" customHeight="false" outlineLevel="0" collapsed="false">
      <c r="A34" s="4" t="s">
        <v>309</v>
      </c>
      <c r="B34" s="6" t="s">
        <v>312</v>
      </c>
      <c r="C34" s="14" t="n">
        <v>2144.33</v>
      </c>
      <c r="D34" s="14" t="n">
        <f aca="false">C34/220</f>
        <v>9.74695454545454</v>
      </c>
      <c r="E34" s="5" t="s">
        <v>310</v>
      </c>
    </row>
    <row r="36" customFormat="false" ht="15" hidden="false" customHeight="false" outlineLevel="0" collapsed="false">
      <c r="A36" s="19" t="s">
        <v>319</v>
      </c>
    </row>
    <row r="37" customFormat="false" ht="15" hidden="false" customHeight="false" outlineLevel="0" collapsed="false">
      <c r="A37" s="19" t="s">
        <v>320</v>
      </c>
    </row>
    <row r="38" customFormat="false" ht="15" hidden="false" customHeight="false" outlineLevel="0" collapsed="false">
      <c r="A38" s="18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44"/>
  </cols>
  <sheetData>
    <row r="1" customFormat="false" ht="16.15" hidden="false" customHeight="false" outlineLevel="0" collapsed="false">
      <c r="A1" s="1" t="s">
        <v>322</v>
      </c>
    </row>
    <row r="2" customFormat="false" ht="45.75" hidden="false" customHeight="true" outlineLevel="0" collapsed="false">
      <c r="A2" s="2" t="s">
        <v>323</v>
      </c>
    </row>
    <row r="5" customFormat="false" ht="33.75" hidden="false" customHeight="true" outlineLevel="0" collapsed="false">
      <c r="A5" s="3" t="s">
        <v>113</v>
      </c>
      <c r="B5" s="3" t="s">
        <v>324</v>
      </c>
      <c r="C5" s="3" t="s">
        <v>325</v>
      </c>
      <c r="D5" s="3" t="s">
        <v>115</v>
      </c>
      <c r="E5" s="3" t="s">
        <v>116</v>
      </c>
      <c r="F5" s="3" t="s">
        <v>119</v>
      </c>
      <c r="G5" s="3" t="s">
        <v>120</v>
      </c>
    </row>
    <row r="6" customFormat="false" ht="22.35" hidden="false" customHeight="false" outlineLevel="0" collapsed="false">
      <c r="A6" s="4" t="s">
        <v>326</v>
      </c>
      <c r="B6" s="5" t="s">
        <v>327</v>
      </c>
      <c r="C6" s="5" t="s">
        <v>328</v>
      </c>
      <c r="D6" s="5" t="s">
        <v>329</v>
      </c>
      <c r="E6" s="5" t="s">
        <v>330</v>
      </c>
      <c r="F6" s="6" t="s">
        <v>125</v>
      </c>
      <c r="G6" s="5" t="s">
        <v>331</v>
      </c>
    </row>
    <row r="7" customFormat="false" ht="22.35" hidden="false" customHeight="false" outlineLevel="0" collapsed="false">
      <c r="A7" s="7" t="s">
        <v>247</v>
      </c>
      <c r="B7" s="8" t="s">
        <v>332</v>
      </c>
      <c r="C7" s="8" t="s">
        <v>333</v>
      </c>
      <c r="D7" s="8" t="s">
        <v>334</v>
      </c>
      <c r="E7" s="8" t="s">
        <v>335</v>
      </c>
      <c r="F7" s="9" t="s">
        <v>125</v>
      </c>
      <c r="G7" s="8" t="s">
        <v>336</v>
      </c>
    </row>
    <row r="8" customFormat="false" ht="22.35" hidden="false" customHeight="false" outlineLevel="0" collapsed="false">
      <c r="A8" s="4" t="s">
        <v>337</v>
      </c>
      <c r="B8" s="5" t="s">
        <v>338</v>
      </c>
      <c r="C8" s="5" t="s">
        <v>338</v>
      </c>
      <c r="D8" s="5" t="s">
        <v>129</v>
      </c>
      <c r="E8" s="5" t="s">
        <v>339</v>
      </c>
      <c r="F8" s="6" t="s">
        <v>340</v>
      </c>
      <c r="G8" s="5" t="s">
        <v>341</v>
      </c>
    </row>
    <row r="9" customFormat="false" ht="22.35" hidden="false" customHeight="false" outlineLevel="0" collapsed="false">
      <c r="A9" s="7" t="s">
        <v>342</v>
      </c>
      <c r="B9" s="8" t="s">
        <v>343</v>
      </c>
      <c r="C9" s="8" t="s">
        <v>344</v>
      </c>
      <c r="D9" s="8" t="s">
        <v>345</v>
      </c>
      <c r="E9" s="8" t="s">
        <v>346</v>
      </c>
      <c r="F9" s="9" t="s">
        <v>125</v>
      </c>
      <c r="G9" s="8" t="s">
        <v>347</v>
      </c>
    </row>
    <row r="10" customFormat="false" ht="15" hidden="false" customHeight="false" outlineLevel="0" collapsed="false">
      <c r="A10" s="4" t="s">
        <v>348</v>
      </c>
      <c r="B10" s="5" t="s">
        <v>349</v>
      </c>
      <c r="C10" s="5" t="s">
        <v>350</v>
      </c>
      <c r="D10" s="5" t="s">
        <v>351</v>
      </c>
      <c r="E10" s="5" t="s">
        <v>346</v>
      </c>
      <c r="F10" s="6" t="s">
        <v>125</v>
      </c>
      <c r="G10" s="5" t="s">
        <v>347</v>
      </c>
    </row>
    <row r="11" customFormat="false" ht="15" hidden="false" customHeight="false" outlineLevel="0" collapsed="false">
      <c r="A11" s="7" t="s">
        <v>352</v>
      </c>
      <c r="B11" s="8" t="s">
        <v>353</v>
      </c>
      <c r="C11" s="8" t="s">
        <v>354</v>
      </c>
      <c r="D11" s="8" t="s">
        <v>129</v>
      </c>
      <c r="E11" s="8" t="s">
        <v>355</v>
      </c>
      <c r="F11" s="9" t="s">
        <v>125</v>
      </c>
      <c r="G11" s="8" t="s">
        <v>347</v>
      </c>
    </row>
    <row r="12" customFormat="false" ht="22.35" hidden="false" customHeight="false" outlineLevel="0" collapsed="false">
      <c r="A12" s="4" t="s">
        <v>356</v>
      </c>
      <c r="B12" s="5" t="s">
        <v>357</v>
      </c>
      <c r="C12" s="5" t="s">
        <v>357</v>
      </c>
      <c r="D12" s="5" t="s">
        <v>358</v>
      </c>
      <c r="E12" s="5" t="s">
        <v>359</v>
      </c>
      <c r="F12" s="6" t="s">
        <v>125</v>
      </c>
      <c r="G12" s="5" t="s">
        <v>360</v>
      </c>
    </row>
    <row r="13" customFormat="false" ht="22.35" hidden="false" customHeight="false" outlineLevel="0" collapsed="false">
      <c r="A13" s="7" t="s">
        <v>361</v>
      </c>
      <c r="B13" s="8" t="s">
        <v>362</v>
      </c>
      <c r="C13" s="8" t="s">
        <v>351</v>
      </c>
      <c r="D13" s="8" t="s">
        <v>129</v>
      </c>
      <c r="E13" s="8" t="s">
        <v>363</v>
      </c>
      <c r="F13" s="9" t="s">
        <v>125</v>
      </c>
      <c r="G13" s="8" t="s">
        <v>364</v>
      </c>
    </row>
    <row r="14" customFormat="false" ht="15" hidden="false" customHeight="false" outlineLevel="0" collapsed="false">
      <c r="A14" s="4" t="s">
        <v>136</v>
      </c>
      <c r="B14" s="5" t="s">
        <v>137</v>
      </c>
      <c r="C14" s="5" t="s">
        <v>351</v>
      </c>
      <c r="D14" s="5" t="s">
        <v>138</v>
      </c>
      <c r="E14" s="5" t="s">
        <v>139</v>
      </c>
      <c r="F14" s="6" t="s">
        <v>125</v>
      </c>
      <c r="G14" s="5" t="s">
        <v>268</v>
      </c>
    </row>
    <row r="15" customFormat="false" ht="15" hidden="false" customHeight="false" outlineLevel="0" collapsed="false">
      <c r="A15" s="7" t="s">
        <v>365</v>
      </c>
      <c r="B15" s="8" t="s">
        <v>366</v>
      </c>
      <c r="C15" s="8" t="s">
        <v>366</v>
      </c>
      <c r="D15" s="8" t="s">
        <v>64</v>
      </c>
      <c r="E15" s="8" t="s">
        <v>64</v>
      </c>
      <c r="F15" s="9" t="s">
        <v>64</v>
      </c>
      <c r="G15" s="8" t="s">
        <v>367</v>
      </c>
    </row>
    <row r="16" customFormat="false" ht="15" hidden="false" customHeight="false" outlineLevel="0" collapsed="false">
      <c r="A16" s="4" t="s">
        <v>149</v>
      </c>
      <c r="B16" s="5" t="s">
        <v>366</v>
      </c>
      <c r="C16" s="5" t="s">
        <v>366</v>
      </c>
      <c r="D16" s="5" t="s">
        <v>64</v>
      </c>
      <c r="E16" s="5" t="s">
        <v>64</v>
      </c>
      <c r="F16" s="6" t="s">
        <v>64</v>
      </c>
      <c r="G16" s="5" t="s">
        <v>368</v>
      </c>
    </row>
    <row r="18" customFormat="false" ht="15" hidden="false" customHeight="false" outlineLevel="0" collapsed="false">
      <c r="A18" s="10" t="s">
        <v>369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7" t="s">
        <v>370</v>
      </c>
      <c r="B19" s="8" t="s">
        <v>371</v>
      </c>
      <c r="C19" s="8" t="s">
        <v>351</v>
      </c>
      <c r="D19" s="8" t="s">
        <v>371</v>
      </c>
      <c r="E19" s="8" t="s">
        <v>173</v>
      </c>
      <c r="F19" s="9" t="s">
        <v>64</v>
      </c>
      <c r="G19" s="8" t="s">
        <v>372</v>
      </c>
    </row>
    <row r="20" customFormat="false" ht="22.35" hidden="false" customHeight="false" outlineLevel="0" collapsed="false">
      <c r="A20" s="4" t="s">
        <v>373</v>
      </c>
      <c r="B20" s="5" t="s">
        <v>374</v>
      </c>
      <c r="C20" s="5" t="s">
        <v>351</v>
      </c>
      <c r="D20" s="5" t="s">
        <v>375</v>
      </c>
      <c r="E20" s="5" t="s">
        <v>173</v>
      </c>
      <c r="F20" s="6" t="s">
        <v>64</v>
      </c>
      <c r="G20" s="5" t="s">
        <v>376</v>
      </c>
    </row>
    <row r="21" customFormat="false" ht="15" hidden="false" customHeight="false" outlineLevel="0" collapsed="false">
      <c r="A21" s="7" t="s">
        <v>377</v>
      </c>
      <c r="B21" s="8" t="s">
        <v>378</v>
      </c>
      <c r="C21" s="8" t="s">
        <v>351</v>
      </c>
      <c r="D21" s="8" t="s">
        <v>379</v>
      </c>
      <c r="E21" s="8" t="s">
        <v>173</v>
      </c>
      <c r="F21" s="9" t="s">
        <v>64</v>
      </c>
      <c r="G21" s="8" t="s">
        <v>380</v>
      </c>
    </row>
    <row r="22" customFormat="false" ht="32.8" hidden="false" customHeight="false" outlineLevel="0" collapsed="false">
      <c r="A22" s="4" t="s">
        <v>381</v>
      </c>
      <c r="B22" s="5" t="s">
        <v>382</v>
      </c>
      <c r="C22" s="5" t="s">
        <v>351</v>
      </c>
      <c r="D22" s="5" t="s">
        <v>129</v>
      </c>
      <c r="E22" s="5" t="s">
        <v>383</v>
      </c>
      <c r="F22" s="6" t="s">
        <v>64</v>
      </c>
      <c r="G22" s="5" t="s">
        <v>384</v>
      </c>
    </row>
    <row r="25" customFormat="false" ht="15" hidden="false" customHeight="false" outlineLevel="0" collapsed="false">
      <c r="A25" s="18" t="s">
        <v>385</v>
      </c>
    </row>
    <row r="27" customFormat="false" ht="15" hidden="false" customHeight="false" outlineLevel="0" collapsed="false">
      <c r="A27" s="19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9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387</v>
      </c>
    </row>
    <row r="2" customFormat="false" ht="45.75" hidden="false" customHeight="true" outlineLevel="0" collapsed="false">
      <c r="A2" s="2" t="s">
        <v>388</v>
      </c>
    </row>
    <row r="5" customFormat="false" ht="33.75" hidden="false" customHeight="true" outlineLevel="0" collapsed="false">
      <c r="A5" s="3" t="s">
        <v>57</v>
      </c>
      <c r="B5" s="3" t="s">
        <v>184</v>
      </c>
      <c r="C5" s="3" t="s">
        <v>185</v>
      </c>
      <c r="D5" s="3" t="s">
        <v>186</v>
      </c>
      <c r="E5" s="3" t="s">
        <v>389</v>
      </c>
      <c r="F5" s="3" t="s">
        <v>188</v>
      </c>
      <c r="G5" s="3" t="s">
        <v>390</v>
      </c>
      <c r="H5" s="3" t="s">
        <v>59</v>
      </c>
    </row>
    <row r="6" customFormat="false" ht="15" hidden="false" customHeight="false" outlineLevel="0" collapsed="false">
      <c r="A6" s="10" t="s">
        <v>391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24" t="s">
        <v>392</v>
      </c>
      <c r="B7" s="16" t="n">
        <v>2784.3</v>
      </c>
      <c r="C7" s="9" t="s">
        <v>64</v>
      </c>
      <c r="D7" s="16" t="s">
        <v>64</v>
      </c>
      <c r="E7" s="16" t="n">
        <f aca="false">B7*0.3</f>
        <v>835.29</v>
      </c>
      <c r="F7" s="22" t="n">
        <f aca="false">B7+IF(ISNUMBER(D7),D7,0)+IF(ISNUMBER(E7),E7,0)</f>
        <v>3619.59</v>
      </c>
      <c r="G7" s="9" t="s">
        <v>393</v>
      </c>
      <c r="H7" s="16" t="n">
        <f aca="false">F7/180</f>
        <v>20.1088333333333</v>
      </c>
    </row>
    <row r="8" customFormat="false" ht="15" hidden="false" customHeight="false" outlineLevel="0" collapsed="false">
      <c r="A8" s="25" t="s">
        <v>394</v>
      </c>
      <c r="B8" s="14" t="n">
        <v>2784.3</v>
      </c>
      <c r="C8" s="6" t="s">
        <v>395</v>
      </c>
      <c r="D8" s="14" t="n">
        <f aca="false">B8*0.25</f>
        <v>696.075</v>
      </c>
      <c r="E8" s="14" t="n">
        <f aca="false">B8*0.3</f>
        <v>835.29</v>
      </c>
      <c r="F8" s="23" t="n">
        <f aca="false">B8+IF(ISNUMBER(D8),D8,0)+IF(ISNUMBER(E8),E8,0)</f>
        <v>4315.665</v>
      </c>
      <c r="G8" s="6" t="s">
        <v>393</v>
      </c>
      <c r="H8" s="14" t="n">
        <f aca="false">F8/180</f>
        <v>23.9759166666667</v>
      </c>
    </row>
    <row r="9" customFormat="false" ht="15" hidden="false" customHeight="false" outlineLevel="0" collapsed="false">
      <c r="A9" s="24" t="s">
        <v>396</v>
      </c>
      <c r="B9" s="16" t="n">
        <v>2784.3</v>
      </c>
      <c r="C9" s="9" t="s">
        <v>397</v>
      </c>
      <c r="D9" s="16" t="n">
        <f aca="false">B9*0.1</f>
        <v>278.43</v>
      </c>
      <c r="E9" s="16" t="n">
        <f aca="false">B9*0.3</f>
        <v>835.29</v>
      </c>
      <c r="F9" s="22" t="n">
        <f aca="false">B9+IF(ISNUMBER(D9),D9,0)+IF(ISNUMBER(E9),E9,0)</f>
        <v>3898.02</v>
      </c>
      <c r="G9" s="9" t="s">
        <v>393</v>
      </c>
      <c r="H9" s="16" t="n">
        <f aca="false">F9/180</f>
        <v>21.6556666666667</v>
      </c>
    </row>
    <row r="10" customFormat="false" ht="15" hidden="false" customHeight="false" outlineLevel="0" collapsed="false">
      <c r="A10" s="25" t="s">
        <v>398</v>
      </c>
      <c r="B10" s="14" t="n">
        <v>2784.3</v>
      </c>
      <c r="C10" s="6" t="s">
        <v>397</v>
      </c>
      <c r="D10" s="14" t="n">
        <f aca="false">B10*0.1</f>
        <v>278.43</v>
      </c>
      <c r="E10" s="14" t="n">
        <f aca="false">B10*0.3</f>
        <v>835.29</v>
      </c>
      <c r="F10" s="23" t="n">
        <f aca="false">B10+IF(ISNUMBER(D10),D10,0)+IF(ISNUMBER(E10),E10,0)</f>
        <v>3898.02</v>
      </c>
      <c r="G10" s="6" t="s">
        <v>393</v>
      </c>
      <c r="H10" s="14" t="n">
        <f aca="false">F10/180</f>
        <v>21.6556666666667</v>
      </c>
    </row>
    <row r="11" customFormat="false" ht="15" hidden="false" customHeight="false" outlineLevel="0" collapsed="false">
      <c r="A11" s="24" t="s">
        <v>399</v>
      </c>
      <c r="B11" s="16" t="n">
        <v>2784.3</v>
      </c>
      <c r="C11" s="9" t="s">
        <v>397</v>
      </c>
      <c r="D11" s="16" t="n">
        <f aca="false">B11*0.1</f>
        <v>278.43</v>
      </c>
      <c r="E11" s="16" t="n">
        <f aca="false">B11*0.3</f>
        <v>835.29</v>
      </c>
      <c r="F11" s="22" t="n">
        <f aca="false">B11+IF(ISNUMBER(D11),D11,0)+IF(ISNUMBER(E11),E11,0)</f>
        <v>3898.02</v>
      </c>
      <c r="G11" s="9" t="s">
        <v>393</v>
      </c>
      <c r="H11" s="16" t="n">
        <f aca="false">F11/180</f>
        <v>21.6556666666667</v>
      </c>
    </row>
    <row r="12" customFormat="false" ht="15" hidden="false" customHeight="false" outlineLevel="0" collapsed="false">
      <c r="A12" s="25" t="s">
        <v>400</v>
      </c>
      <c r="B12" s="14" t="n">
        <v>2784.3</v>
      </c>
      <c r="C12" s="6" t="s">
        <v>397</v>
      </c>
      <c r="D12" s="14" t="n">
        <f aca="false">B12*0.1</f>
        <v>278.43</v>
      </c>
      <c r="E12" s="14" t="n">
        <f aca="false">B12*0.3</f>
        <v>835.29</v>
      </c>
      <c r="F12" s="23" t="n">
        <f aca="false">B12+IF(ISNUMBER(D12),D12,0)+IF(ISNUMBER(E12),E12,0)</f>
        <v>3898.02</v>
      </c>
      <c r="G12" s="6" t="s">
        <v>393</v>
      </c>
      <c r="H12" s="14" t="n">
        <f aca="false">F12/180</f>
        <v>21.6556666666667</v>
      </c>
    </row>
    <row r="13" customFormat="false" ht="15" hidden="false" customHeight="false" outlineLevel="0" collapsed="false">
      <c r="A13" s="24" t="s">
        <v>401</v>
      </c>
      <c r="B13" s="16" t="n">
        <v>2784.3</v>
      </c>
      <c r="C13" s="9" t="s">
        <v>64</v>
      </c>
      <c r="D13" s="16" t="s">
        <v>64</v>
      </c>
      <c r="E13" s="16" t="n">
        <f aca="false">B13*0.3</f>
        <v>835.29</v>
      </c>
      <c r="F13" s="22" t="n">
        <f aca="false">B13+IF(ISNUMBER(D13),D13,0)+IF(ISNUMBER(E13),E13,0)</f>
        <v>3619.59</v>
      </c>
      <c r="G13" s="9" t="s">
        <v>393</v>
      </c>
      <c r="H13" s="16" t="n">
        <f aca="false">F13/180</f>
        <v>20.1088333333333</v>
      </c>
    </row>
    <row r="14" customFormat="false" ht="15" hidden="false" customHeight="false" outlineLevel="0" collapsed="false">
      <c r="A14" s="25" t="s">
        <v>402</v>
      </c>
      <c r="B14" s="14" t="n">
        <v>2784.3</v>
      </c>
      <c r="C14" s="6" t="s">
        <v>64</v>
      </c>
      <c r="D14" s="14" t="s">
        <v>64</v>
      </c>
      <c r="E14" s="14" t="s">
        <v>64</v>
      </c>
      <c r="F14" s="23" t="n">
        <f aca="false">B14+IF(ISNUMBER(D14),D14,0)+IF(ISNUMBER(E14),E14,0)</f>
        <v>2784.3</v>
      </c>
      <c r="G14" s="6" t="s">
        <v>403</v>
      </c>
      <c r="H14" s="14" t="n">
        <f aca="false">F14/220</f>
        <v>12.6559090909091</v>
      </c>
    </row>
    <row r="15" customFormat="false" ht="15" hidden="false" customHeight="false" outlineLevel="0" collapsed="false">
      <c r="A15" s="10" t="s">
        <v>404</v>
      </c>
      <c r="B15" s="11"/>
      <c r="C15" s="11"/>
      <c r="D15" s="11"/>
      <c r="E15" s="11"/>
      <c r="F15" s="11"/>
      <c r="G15" s="11"/>
      <c r="H15" s="11"/>
    </row>
    <row r="16" customFormat="false" ht="22.35" hidden="false" customHeight="false" outlineLevel="0" collapsed="false">
      <c r="A16" s="25" t="s">
        <v>405</v>
      </c>
      <c r="B16" s="14" t="n">
        <v>3828.4</v>
      </c>
      <c r="C16" s="6" t="s">
        <v>64</v>
      </c>
      <c r="D16" s="14" t="s">
        <v>64</v>
      </c>
      <c r="E16" s="14" t="n">
        <f aca="false">B16*0.3</f>
        <v>1148.52</v>
      </c>
      <c r="F16" s="23" t="n">
        <f aca="false">B16+IF(ISNUMBER(D16),D16,0)+IF(ISNUMBER(E16),E16,0)</f>
        <v>4976.92</v>
      </c>
      <c r="G16" s="6" t="s">
        <v>403</v>
      </c>
      <c r="H16" s="14" t="n">
        <f aca="false">F16/220</f>
        <v>22.6223636363636</v>
      </c>
    </row>
    <row r="17" customFormat="false" ht="15" hidden="false" customHeight="false" outlineLevel="0" collapsed="false">
      <c r="A17" s="24" t="s">
        <v>406</v>
      </c>
      <c r="B17" s="16" t="n">
        <v>3828.4</v>
      </c>
      <c r="C17" s="9" t="s">
        <v>395</v>
      </c>
      <c r="D17" s="16" t="n">
        <f aca="false">B17*0.25</f>
        <v>957.1</v>
      </c>
      <c r="E17" s="16" t="n">
        <f aca="false">B17*0.3</f>
        <v>1148.52</v>
      </c>
      <c r="F17" s="22" t="n">
        <f aca="false">B17+IF(ISNUMBER(D17),D17,0)+IF(ISNUMBER(E17),E17,0)</f>
        <v>5934.02</v>
      </c>
      <c r="G17" s="9" t="s">
        <v>403</v>
      </c>
      <c r="H17" s="16" t="n">
        <f aca="false">F17/220</f>
        <v>26.9728181818182</v>
      </c>
    </row>
    <row r="18" customFormat="false" ht="15" hidden="false" customHeight="false" outlineLevel="0" collapsed="false">
      <c r="A18" s="25" t="s">
        <v>407</v>
      </c>
      <c r="B18" s="14" t="n">
        <v>3828.4</v>
      </c>
      <c r="C18" s="6" t="s">
        <v>70</v>
      </c>
      <c r="D18" s="14" t="n">
        <f aca="false">B18*0.2</f>
        <v>765.68</v>
      </c>
      <c r="E18" s="14" t="n">
        <f aca="false">B18*0.3</f>
        <v>1148.52</v>
      </c>
      <c r="F18" s="23" t="n">
        <f aca="false">B18+IF(ISNUMBER(D18),D18,0)+IF(ISNUMBER(E18),E18,0)</f>
        <v>5742.6</v>
      </c>
      <c r="G18" s="6" t="s">
        <v>403</v>
      </c>
      <c r="H18" s="14" t="n">
        <f aca="false">F18/220</f>
        <v>26.1027272727273</v>
      </c>
    </row>
    <row r="19" customFormat="false" ht="15" hidden="false" customHeight="false" outlineLevel="0" collapsed="false">
      <c r="A19" s="24" t="s">
        <v>408</v>
      </c>
      <c r="B19" s="16" t="n">
        <v>3828.4</v>
      </c>
      <c r="C19" s="9" t="s">
        <v>397</v>
      </c>
      <c r="D19" s="16" t="n">
        <f aca="false">B19*0.1</f>
        <v>382.84</v>
      </c>
      <c r="E19" s="16" t="n">
        <f aca="false">B19*0.3</f>
        <v>1148.52</v>
      </c>
      <c r="F19" s="22" t="n">
        <f aca="false">B19+IF(ISNUMBER(D19),D19,0)+IF(ISNUMBER(E19),E19,0)</f>
        <v>5359.76</v>
      </c>
      <c r="G19" s="9" t="s">
        <v>403</v>
      </c>
      <c r="H19" s="16" t="n">
        <f aca="false">F19/220</f>
        <v>24.3625454545455</v>
      </c>
    </row>
    <row r="20" customFormat="false" ht="15" hidden="false" customHeight="false" outlineLevel="0" collapsed="false">
      <c r="A20" s="25" t="s">
        <v>409</v>
      </c>
      <c r="B20" s="14" t="n">
        <v>3828.4</v>
      </c>
      <c r="C20" s="6" t="s">
        <v>397</v>
      </c>
      <c r="D20" s="14" t="n">
        <f aca="false">B20*0.1</f>
        <v>382.84</v>
      </c>
      <c r="E20" s="14" t="n">
        <f aca="false">B20*0.3</f>
        <v>1148.52</v>
      </c>
      <c r="F20" s="23" t="n">
        <f aca="false">B20+IF(ISNUMBER(D20),D20,0)+IF(ISNUMBER(E20),E20,0)</f>
        <v>5359.76</v>
      </c>
      <c r="G20" s="6" t="s">
        <v>403</v>
      </c>
      <c r="H20" s="14" t="n">
        <f aca="false">F20/220</f>
        <v>24.3625454545455</v>
      </c>
    </row>
    <row r="21" customFormat="false" ht="15" hidden="false" customHeight="false" outlineLevel="0" collapsed="false">
      <c r="A21" s="24" t="s">
        <v>410</v>
      </c>
      <c r="B21" s="16" t="n">
        <v>3828.4</v>
      </c>
      <c r="C21" s="9" t="s">
        <v>64</v>
      </c>
      <c r="D21" s="16" t="s">
        <v>64</v>
      </c>
      <c r="E21" s="16" t="n">
        <f aca="false">B21*0.3</f>
        <v>1148.52</v>
      </c>
      <c r="F21" s="22" t="n">
        <f aca="false">B21+IF(ISNUMBER(D21),D21,0)+IF(ISNUMBER(E21),E21,0)</f>
        <v>4976.92</v>
      </c>
      <c r="G21" s="9" t="s">
        <v>403</v>
      </c>
      <c r="H21" s="16" t="n">
        <f aca="false">F21/220</f>
        <v>22.6223636363636</v>
      </c>
    </row>
    <row r="22" customFormat="false" ht="15" hidden="false" customHeight="false" outlineLevel="0" collapsed="false">
      <c r="A22" s="10" t="s">
        <v>411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24" t="s">
        <v>412</v>
      </c>
      <c r="B23" s="16" t="n">
        <v>4341.65</v>
      </c>
      <c r="C23" s="9" t="s">
        <v>395</v>
      </c>
      <c r="D23" s="16" t="n">
        <f aca="false">B23*0.25</f>
        <v>1085.4125</v>
      </c>
      <c r="E23" s="16" t="n">
        <f aca="false">B23*0.3</f>
        <v>1302.495</v>
      </c>
      <c r="F23" s="22" t="n">
        <f aca="false">B23+IF(ISNUMBER(D23),D23,0)+IF(ISNUMBER(E23),E23,0)</f>
        <v>6729.5575</v>
      </c>
      <c r="G23" s="9" t="s">
        <v>403</v>
      </c>
      <c r="H23" s="16" t="n">
        <f aca="false">F23/220</f>
        <v>30.5888977272727</v>
      </c>
    </row>
    <row r="24" customFormat="false" ht="15" hidden="false" customHeight="false" outlineLevel="0" collapsed="false">
      <c r="A24" s="25" t="s">
        <v>413</v>
      </c>
      <c r="B24" s="14" t="n">
        <v>4341.65</v>
      </c>
      <c r="C24" s="6" t="s">
        <v>395</v>
      </c>
      <c r="D24" s="14" t="n">
        <f aca="false">B24*0.25</f>
        <v>1085.4125</v>
      </c>
      <c r="E24" s="14" t="n">
        <f aca="false">B24*0.3</f>
        <v>1302.495</v>
      </c>
      <c r="F24" s="23" t="n">
        <f aca="false">B24+IF(ISNUMBER(D24),D24,0)+IF(ISNUMBER(E24),E24,0)</f>
        <v>6729.5575</v>
      </c>
      <c r="G24" s="6" t="s">
        <v>403</v>
      </c>
      <c r="H24" s="14" t="n">
        <f aca="false">F24/220</f>
        <v>30.5888977272727</v>
      </c>
    </row>
    <row r="25" customFormat="false" ht="15" hidden="false" customHeight="false" outlineLevel="0" collapsed="false">
      <c r="A25" s="24" t="s">
        <v>414</v>
      </c>
      <c r="B25" s="16" t="n">
        <v>4341.65</v>
      </c>
      <c r="C25" s="9" t="s">
        <v>395</v>
      </c>
      <c r="D25" s="16" t="n">
        <f aca="false">B25*0.25</f>
        <v>1085.4125</v>
      </c>
      <c r="E25" s="16" t="n">
        <f aca="false">B25*0.3</f>
        <v>1302.495</v>
      </c>
      <c r="F25" s="22" t="n">
        <f aca="false">B25+IF(ISNUMBER(D25),D25,0)+IF(ISNUMBER(E25),E25,0)</f>
        <v>6729.5575</v>
      </c>
      <c r="G25" s="9" t="s">
        <v>403</v>
      </c>
      <c r="H25" s="16" t="n">
        <f aca="false">F25/220</f>
        <v>30.5888977272727</v>
      </c>
    </row>
    <row r="26" customFormat="false" ht="15" hidden="false" customHeight="false" outlineLevel="0" collapsed="false">
      <c r="A26" s="25" t="s">
        <v>415</v>
      </c>
      <c r="B26" s="14" t="n">
        <v>4341.65</v>
      </c>
      <c r="C26" s="6" t="s">
        <v>64</v>
      </c>
      <c r="D26" s="14" t="s">
        <v>64</v>
      </c>
      <c r="E26" s="14" t="n">
        <f aca="false">B26*0.3</f>
        <v>1302.495</v>
      </c>
      <c r="F26" s="23" t="n">
        <f aca="false">B26+IF(ISNUMBER(D26),D26,0)+IF(ISNUMBER(E26),E26,0)</f>
        <v>5644.145</v>
      </c>
      <c r="G26" s="6" t="s">
        <v>403</v>
      </c>
      <c r="H26" s="14" t="n">
        <f aca="false">F26/220</f>
        <v>25.6552045454545</v>
      </c>
    </row>
    <row r="27" customFormat="false" ht="15" hidden="false" customHeight="false" outlineLevel="0" collapsed="false">
      <c r="A27" s="24" t="s">
        <v>416</v>
      </c>
      <c r="B27" s="16" t="n">
        <v>10755.13</v>
      </c>
      <c r="C27" s="9" t="s">
        <v>64</v>
      </c>
      <c r="D27" s="16" t="s">
        <v>64</v>
      </c>
      <c r="E27" s="16" t="n">
        <f aca="false">B27*0.3</f>
        <v>3226.539</v>
      </c>
      <c r="F27" s="22" t="n">
        <f aca="false">B27+IF(ISNUMBER(D27),D27,0)+IF(ISNUMBER(E27),E27,0)</f>
        <v>13981.669</v>
      </c>
      <c r="G27" s="9" t="s">
        <v>403</v>
      </c>
      <c r="H27" s="16" t="n">
        <f aca="false">F27/220</f>
        <v>63.5530409090909</v>
      </c>
    </row>
    <row r="28" customFormat="false" ht="15" hidden="false" customHeight="false" outlineLevel="0" collapsed="false">
      <c r="A28" s="25" t="s">
        <v>417</v>
      </c>
      <c r="B28" s="14" t="n">
        <v>10755.13</v>
      </c>
      <c r="C28" s="6" t="s">
        <v>64</v>
      </c>
      <c r="D28" s="14" t="s">
        <v>64</v>
      </c>
      <c r="E28" s="14" t="s">
        <v>64</v>
      </c>
      <c r="F28" s="23" t="n">
        <f aca="false">B28+IF(ISNUMBER(D28),D28,0)+IF(ISNUMBER(E28),E28,0)</f>
        <v>10755.13</v>
      </c>
      <c r="G28" s="6" t="s">
        <v>403</v>
      </c>
      <c r="H28" s="14" t="n">
        <f aca="false">F28/220</f>
        <v>48.8869545454545</v>
      </c>
    </row>
    <row r="29" customFormat="false" ht="15" hidden="false" customHeight="false" outlineLevel="0" collapsed="false">
      <c r="A29" s="10" t="s">
        <v>418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25" t="s">
        <v>419</v>
      </c>
      <c r="B30" s="14" t="n">
        <v>2850.28</v>
      </c>
      <c r="C30" s="6" t="s">
        <v>420</v>
      </c>
      <c r="D30" s="14" t="n">
        <f aca="false">B30*0.15</f>
        <v>427.542</v>
      </c>
      <c r="E30" s="14" t="n">
        <f aca="false">B30*0.3</f>
        <v>855.084</v>
      </c>
      <c r="F30" s="23" t="n">
        <f aca="false">B30+IF(ISNUMBER(D30),D30,0)+IF(ISNUMBER(E30),E30,0)</f>
        <v>4132.906</v>
      </c>
      <c r="G30" s="6" t="s">
        <v>393</v>
      </c>
      <c r="H30" s="14" t="n">
        <f aca="false">F30/180</f>
        <v>22.9605888888889</v>
      </c>
    </row>
    <row r="31" customFormat="false" ht="15" hidden="false" customHeight="false" outlineLevel="0" collapsed="false">
      <c r="A31" s="24" t="s">
        <v>421</v>
      </c>
      <c r="B31" s="16" t="n">
        <v>2850.28</v>
      </c>
      <c r="C31" s="9" t="s">
        <v>422</v>
      </c>
      <c r="D31" s="16" t="n">
        <f aca="false">B31*0.28</f>
        <v>798.0784</v>
      </c>
      <c r="E31" s="16" t="n">
        <f aca="false">B31*0.3</f>
        <v>855.084</v>
      </c>
      <c r="F31" s="22" t="n">
        <f aca="false">B31+IF(ISNUMBER(D31),D31,0)+IF(ISNUMBER(E31),E31,0)</f>
        <v>4503.4424</v>
      </c>
      <c r="G31" s="9" t="s">
        <v>393</v>
      </c>
      <c r="H31" s="16" t="n">
        <f aca="false">F31/180</f>
        <v>25.0191244444444</v>
      </c>
    </row>
    <row r="32" customFormat="false" ht="15" hidden="false" customHeight="false" outlineLevel="0" collapsed="false">
      <c r="A32" s="25" t="s">
        <v>423</v>
      </c>
      <c r="B32" s="14" t="n">
        <v>3828.4</v>
      </c>
      <c r="C32" s="6" t="s">
        <v>395</v>
      </c>
      <c r="D32" s="14" t="n">
        <f aca="false">B32*0.25</f>
        <v>957.1</v>
      </c>
      <c r="E32" s="14" t="n">
        <f aca="false">B32*0.3</f>
        <v>1148.52</v>
      </c>
      <c r="F32" s="23" t="n">
        <f aca="false">B32+IF(ISNUMBER(D32),D32,0)+IF(ISNUMBER(E32),E32,0)</f>
        <v>5934.02</v>
      </c>
      <c r="G32" s="6" t="s">
        <v>403</v>
      </c>
      <c r="H32" s="14" t="n">
        <f aca="false">F32/220</f>
        <v>26.9728181818182</v>
      </c>
    </row>
    <row r="33" customFormat="false" ht="15" hidden="false" customHeight="false" outlineLevel="0" collapsed="false">
      <c r="A33" s="24" t="s">
        <v>424</v>
      </c>
      <c r="B33" s="16" t="n">
        <v>4085.03</v>
      </c>
      <c r="C33" s="9" t="s">
        <v>395</v>
      </c>
      <c r="D33" s="16" t="n">
        <f aca="false">B33*0.25</f>
        <v>1021.2575</v>
      </c>
      <c r="E33" s="16" t="n">
        <f aca="false">B33*0.3</f>
        <v>1225.509</v>
      </c>
      <c r="F33" s="22" t="n">
        <f aca="false">B33+IF(ISNUMBER(D33),D33,0)+IF(ISNUMBER(E33),E33,0)</f>
        <v>6331.7965</v>
      </c>
      <c r="G33" s="9" t="s">
        <v>403</v>
      </c>
      <c r="H33" s="16" t="n">
        <f aca="false">F33/220</f>
        <v>28.7808931818182</v>
      </c>
    </row>
    <row r="34" customFormat="false" ht="15" hidden="false" customHeight="false" outlineLevel="0" collapsed="false">
      <c r="A34" s="25" t="s">
        <v>425</v>
      </c>
      <c r="B34" s="14" t="n">
        <v>4341.65</v>
      </c>
      <c r="C34" s="6" t="s">
        <v>395</v>
      </c>
      <c r="D34" s="14" t="n">
        <f aca="false">B34*0.25</f>
        <v>1085.4125</v>
      </c>
      <c r="E34" s="14" t="n">
        <f aca="false">B34*0.3</f>
        <v>1302.495</v>
      </c>
      <c r="F34" s="23" t="n">
        <f aca="false">B34+IF(ISNUMBER(D34),D34,0)+IF(ISNUMBER(E34),E34,0)</f>
        <v>6729.5575</v>
      </c>
      <c r="G34" s="6" t="s">
        <v>403</v>
      </c>
      <c r="H34" s="14" t="n">
        <f aca="false">F34/220</f>
        <v>30.5888977272727</v>
      </c>
    </row>
    <row r="35" customFormat="false" ht="15" hidden="false" customHeight="false" outlineLevel="0" collapsed="false">
      <c r="A35" s="24" t="s">
        <v>426</v>
      </c>
      <c r="B35" s="16" t="n">
        <v>2870.36</v>
      </c>
      <c r="C35" s="9" t="s">
        <v>64</v>
      </c>
      <c r="D35" s="16" t="s">
        <v>64</v>
      </c>
      <c r="E35" s="16" t="n">
        <f aca="false">B35*0.3</f>
        <v>861.108</v>
      </c>
      <c r="F35" s="22" t="n">
        <f aca="false">B35+IF(ISNUMBER(D35),D35,0)+IF(ISNUMBER(E35),E35,0)</f>
        <v>3731.468</v>
      </c>
      <c r="G35" s="9" t="s">
        <v>403</v>
      </c>
      <c r="H35" s="16" t="n">
        <f aca="false">F35/220</f>
        <v>16.9612181818182</v>
      </c>
    </row>
    <row r="36" customFormat="false" ht="15" hidden="false" customHeight="false" outlineLevel="0" collapsed="false">
      <c r="A36" s="10" t="s">
        <v>427</v>
      </c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24" t="s">
        <v>428</v>
      </c>
      <c r="B37" s="16" t="n">
        <v>3002.68</v>
      </c>
      <c r="C37" s="9" t="s">
        <v>64</v>
      </c>
      <c r="D37" s="16" t="s">
        <v>64</v>
      </c>
      <c r="E37" s="16" t="n">
        <f aca="false">B37*0.3</f>
        <v>900.804</v>
      </c>
      <c r="F37" s="22" t="n">
        <f aca="false">B37+IF(ISNUMBER(D37),D37,0)+IF(ISNUMBER(E37),E37,0)</f>
        <v>3903.484</v>
      </c>
      <c r="G37" s="9" t="s">
        <v>403</v>
      </c>
      <c r="H37" s="16" t="n">
        <f aca="false">F37/220</f>
        <v>17.7431090909091</v>
      </c>
    </row>
    <row r="38" customFormat="false" ht="15" hidden="false" customHeight="false" outlineLevel="0" collapsed="false">
      <c r="A38" s="25" t="s">
        <v>429</v>
      </c>
      <c r="B38" s="14" t="n">
        <v>3002.68</v>
      </c>
      <c r="C38" s="6" t="s">
        <v>397</v>
      </c>
      <c r="D38" s="14" t="n">
        <f aca="false">B38*0.1</f>
        <v>300.268</v>
      </c>
      <c r="E38" s="14" t="n">
        <f aca="false">B38*0.3</f>
        <v>900.804</v>
      </c>
      <c r="F38" s="23" t="n">
        <f aca="false">B38+IF(ISNUMBER(D38),D38,0)+IF(ISNUMBER(E38),E38,0)</f>
        <v>4203.752</v>
      </c>
      <c r="G38" s="6" t="s">
        <v>403</v>
      </c>
      <c r="H38" s="14" t="n">
        <f aca="false">F38/220</f>
        <v>19.1079636363636</v>
      </c>
    </row>
    <row r="39" customFormat="false" ht="15" hidden="false" customHeight="false" outlineLevel="0" collapsed="false">
      <c r="A39" s="24" t="s">
        <v>430</v>
      </c>
      <c r="B39" s="16" t="n">
        <v>2126.98</v>
      </c>
      <c r="C39" s="9" t="s">
        <v>64</v>
      </c>
      <c r="D39" s="16" t="s">
        <v>64</v>
      </c>
      <c r="E39" s="16" t="n">
        <f aca="false">B39*0.3</f>
        <v>638.094</v>
      </c>
      <c r="F39" s="22" t="n">
        <f aca="false">B39+IF(ISNUMBER(D39),D39,0)+IF(ISNUMBER(E39),E39,0)</f>
        <v>2765.074</v>
      </c>
      <c r="G39" s="9" t="s">
        <v>403</v>
      </c>
      <c r="H39" s="16" t="n">
        <f aca="false">F39/220</f>
        <v>12.5685181818182</v>
      </c>
    </row>
    <row r="40" customFormat="false" ht="15" hidden="false" customHeight="false" outlineLevel="0" collapsed="false">
      <c r="A40" s="25" t="s">
        <v>431</v>
      </c>
      <c r="B40" s="14" t="n">
        <v>2126.98</v>
      </c>
      <c r="C40" s="6" t="s">
        <v>397</v>
      </c>
      <c r="D40" s="14" t="n">
        <f aca="false">B40*0.1</f>
        <v>212.698</v>
      </c>
      <c r="E40" s="14" t="n">
        <f aca="false">B40*0.3</f>
        <v>638.094</v>
      </c>
      <c r="F40" s="23" t="n">
        <f aca="false">B40+IF(ISNUMBER(D40),D40,0)+IF(ISNUMBER(E40),E40,0)</f>
        <v>2977.772</v>
      </c>
      <c r="G40" s="6" t="s">
        <v>403</v>
      </c>
      <c r="H40" s="14" t="n">
        <f aca="false">F40/220</f>
        <v>13.5353272727273</v>
      </c>
    </row>
    <row r="42" customFormat="false" ht="15" hidden="false" customHeight="false" outlineLevel="0" collapsed="false">
      <c r="A42" s="10" t="s">
        <v>432</v>
      </c>
      <c r="B42" s="11"/>
      <c r="C42" s="11"/>
      <c r="D42" s="11"/>
      <c r="E42" s="11"/>
      <c r="F42" s="11"/>
      <c r="G42" s="11"/>
      <c r="H42" s="11"/>
    </row>
    <row r="43" customFormat="false" ht="116.4" hidden="false" customHeight="false" outlineLevel="0" collapsed="false">
      <c r="A43" s="7" t="s">
        <v>222</v>
      </c>
      <c r="B43" s="9" t="s">
        <v>80</v>
      </c>
      <c r="C43" s="9"/>
      <c r="D43" s="9"/>
      <c r="E43" s="9"/>
      <c r="F43" s="9"/>
      <c r="G43" s="9"/>
      <c r="H43" s="8" t="s">
        <v>433</v>
      </c>
    </row>
    <row r="44" customFormat="false" ht="64.15" hidden="false" customHeight="false" outlineLevel="0" collapsed="false">
      <c r="A44" s="4" t="s">
        <v>106</v>
      </c>
      <c r="B44" s="6" t="s">
        <v>70</v>
      </c>
      <c r="C44" s="6"/>
      <c r="D44" s="6"/>
      <c r="E44" s="6"/>
      <c r="F44" s="6"/>
      <c r="G44" s="6"/>
      <c r="H44" s="5" t="s">
        <v>434</v>
      </c>
    </row>
    <row r="45" customFormat="false" ht="15" hidden="false" customHeight="false" outlineLevel="0" collapsed="false">
      <c r="A45" s="7" t="s">
        <v>435</v>
      </c>
      <c r="B45" s="9" t="s">
        <v>230</v>
      </c>
      <c r="C45" s="9"/>
      <c r="D45" s="9"/>
      <c r="E45" s="9"/>
      <c r="F45" s="9"/>
      <c r="G45" s="9"/>
      <c r="H45" s="8" t="s">
        <v>372</v>
      </c>
    </row>
    <row r="46" customFormat="false" ht="147.75" hidden="false" customHeight="false" outlineLevel="0" collapsed="false">
      <c r="A46" s="4" t="s">
        <v>436</v>
      </c>
      <c r="B46" s="6" t="s">
        <v>437</v>
      </c>
      <c r="C46" s="6"/>
      <c r="D46" s="6"/>
      <c r="E46" s="6"/>
      <c r="F46" s="6"/>
      <c r="G46" s="6"/>
      <c r="H46" s="5" t="s">
        <v>438</v>
      </c>
    </row>
    <row r="47" customFormat="false" ht="85.05" hidden="false" customHeight="false" outlineLevel="0" collapsed="false">
      <c r="A47" s="7" t="s">
        <v>361</v>
      </c>
      <c r="B47" s="9" t="s">
        <v>439</v>
      </c>
      <c r="C47" s="9"/>
      <c r="D47" s="9"/>
      <c r="E47" s="9"/>
      <c r="F47" s="9"/>
      <c r="G47" s="9"/>
      <c r="H47" s="8" t="s">
        <v>440</v>
      </c>
    </row>
    <row r="50" customFormat="false" ht="15" hidden="false" customHeight="false" outlineLevel="0" collapsed="false">
      <c r="A50" s="18" t="s">
        <v>441</v>
      </c>
    </row>
    <row r="52" customFormat="false" ht="15" hidden="false" customHeight="false" outlineLevel="0" collapsed="false">
      <c r="A52" s="18" t="s">
        <v>442</v>
      </c>
    </row>
    <row r="54" customFormat="false" ht="15" hidden="false" customHeight="false" outlineLevel="0" collapsed="false">
      <c r="A54" s="19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444</v>
      </c>
    </row>
    <row r="2" customFormat="false" ht="45.75" hidden="false" customHeight="true" outlineLevel="0" collapsed="false">
      <c r="A2" s="2" t="s">
        <v>445</v>
      </c>
    </row>
    <row r="5" customFormat="false" ht="33.75" hidden="false" customHeight="true" outlineLevel="0" collapsed="false">
      <c r="A5" s="3" t="s">
        <v>113</v>
      </c>
      <c r="B5" s="3" t="s">
        <v>114</v>
      </c>
      <c r="C5" s="3" t="s">
        <v>241</v>
      </c>
      <c r="D5" s="3" t="s">
        <v>116</v>
      </c>
      <c r="E5" s="3" t="s">
        <v>118</v>
      </c>
      <c r="F5" s="3" t="s">
        <v>119</v>
      </c>
      <c r="G5" s="3" t="s">
        <v>242</v>
      </c>
    </row>
    <row r="6" customFormat="false" ht="32.8" hidden="false" customHeight="false" outlineLevel="0" collapsed="false">
      <c r="A6" s="4" t="s">
        <v>326</v>
      </c>
      <c r="B6" s="5" t="s">
        <v>446</v>
      </c>
      <c r="C6" s="5" t="s">
        <v>329</v>
      </c>
      <c r="D6" s="5" t="s">
        <v>330</v>
      </c>
      <c r="E6" s="14" t="n">
        <v>520.752</v>
      </c>
      <c r="F6" s="6" t="s">
        <v>125</v>
      </c>
      <c r="G6" s="5" t="s">
        <v>447</v>
      </c>
    </row>
    <row r="7" customFormat="false" ht="32.8" hidden="false" customHeight="false" outlineLevel="0" collapsed="false">
      <c r="A7" s="7" t="s">
        <v>247</v>
      </c>
      <c r="B7" s="8" t="s">
        <v>448</v>
      </c>
      <c r="C7" s="8" t="s">
        <v>334</v>
      </c>
      <c r="D7" s="8" t="s">
        <v>449</v>
      </c>
      <c r="E7" s="16" t="n">
        <v>193.62</v>
      </c>
      <c r="F7" s="9" t="s">
        <v>125</v>
      </c>
      <c r="G7" s="8" t="s">
        <v>450</v>
      </c>
    </row>
    <row r="8" customFormat="false" ht="32.8" hidden="false" customHeight="false" outlineLevel="0" collapsed="false">
      <c r="A8" s="4" t="s">
        <v>451</v>
      </c>
      <c r="B8" s="5" t="s">
        <v>452</v>
      </c>
      <c r="C8" s="5" t="s">
        <v>453</v>
      </c>
      <c r="D8" s="5" t="s">
        <v>454</v>
      </c>
      <c r="E8" s="14"/>
      <c r="F8" s="6" t="s">
        <v>125</v>
      </c>
      <c r="G8" s="5" t="s">
        <v>455</v>
      </c>
    </row>
    <row r="9" customFormat="false" ht="15" hidden="false" customHeight="false" outlineLevel="0" collapsed="false">
      <c r="A9" s="7" t="s">
        <v>356</v>
      </c>
      <c r="B9" s="8" t="s">
        <v>456</v>
      </c>
      <c r="C9" s="8" t="s">
        <v>457</v>
      </c>
      <c r="D9" s="8" t="s">
        <v>458</v>
      </c>
      <c r="E9" s="16"/>
      <c r="F9" s="9" t="s">
        <v>125</v>
      </c>
      <c r="G9" s="8" t="s">
        <v>459</v>
      </c>
    </row>
    <row r="10" customFormat="false" ht="15" hidden="false" customHeight="false" outlineLevel="0" collapsed="false">
      <c r="A10" s="4" t="s">
        <v>342</v>
      </c>
      <c r="B10" s="5" t="s">
        <v>460</v>
      </c>
      <c r="C10" s="5" t="s">
        <v>129</v>
      </c>
      <c r="D10" s="5" t="s">
        <v>258</v>
      </c>
      <c r="E10" s="14"/>
      <c r="F10" s="6" t="s">
        <v>125</v>
      </c>
      <c r="G10" s="5" t="s">
        <v>461</v>
      </c>
    </row>
    <row r="11" customFormat="false" ht="15" hidden="false" customHeight="false" outlineLevel="0" collapsed="false">
      <c r="A11" s="7" t="s">
        <v>348</v>
      </c>
      <c r="B11" s="8" t="s">
        <v>462</v>
      </c>
      <c r="C11" s="8" t="s">
        <v>129</v>
      </c>
      <c r="D11" s="8" t="s">
        <v>258</v>
      </c>
      <c r="E11" s="16"/>
      <c r="F11" s="9" t="s">
        <v>125</v>
      </c>
      <c r="G11" s="8" t="s">
        <v>461</v>
      </c>
    </row>
    <row r="12" customFormat="false" ht="15" hidden="false" customHeight="false" outlineLevel="0" collapsed="false">
      <c r="A12" s="4" t="s">
        <v>352</v>
      </c>
      <c r="B12" s="5" t="s">
        <v>463</v>
      </c>
      <c r="C12" s="5" t="s">
        <v>129</v>
      </c>
      <c r="D12" s="5" t="s">
        <v>355</v>
      </c>
      <c r="E12" s="14"/>
      <c r="F12" s="6" t="s">
        <v>125</v>
      </c>
      <c r="G12" s="5" t="s">
        <v>461</v>
      </c>
    </row>
    <row r="13" customFormat="false" ht="22.35" hidden="false" customHeight="false" outlineLevel="0" collapsed="false">
      <c r="A13" s="7" t="s">
        <v>361</v>
      </c>
      <c r="B13" s="8" t="s">
        <v>439</v>
      </c>
      <c r="C13" s="8" t="s">
        <v>129</v>
      </c>
      <c r="D13" s="8" t="s">
        <v>464</v>
      </c>
      <c r="E13" s="16" t="n">
        <v>147.21</v>
      </c>
      <c r="F13" s="9" t="s">
        <v>125</v>
      </c>
      <c r="G13" s="8" t="s">
        <v>465</v>
      </c>
    </row>
    <row r="14" customFormat="false" ht="15" hidden="false" customHeight="false" outlineLevel="0" collapsed="false">
      <c r="A14" s="4" t="s">
        <v>136</v>
      </c>
      <c r="B14" s="5" t="s">
        <v>137</v>
      </c>
      <c r="C14" s="5" t="s">
        <v>138</v>
      </c>
      <c r="D14" s="5" t="s">
        <v>139</v>
      </c>
      <c r="E14" s="14"/>
      <c r="F14" s="6" t="s">
        <v>125</v>
      </c>
      <c r="G14" s="5" t="s">
        <v>268</v>
      </c>
    </row>
    <row r="15" customFormat="false" ht="15" hidden="false" customHeight="false" outlineLevel="0" collapsed="false">
      <c r="A15" s="7" t="s">
        <v>269</v>
      </c>
      <c r="B15" s="8" t="s">
        <v>466</v>
      </c>
      <c r="C15" s="8" t="s">
        <v>155</v>
      </c>
      <c r="D15" s="8" t="s">
        <v>467</v>
      </c>
      <c r="E15" s="16"/>
      <c r="F15" s="9" t="s">
        <v>125</v>
      </c>
      <c r="G15" s="8" t="s">
        <v>468</v>
      </c>
    </row>
    <row r="17" customFormat="false" ht="15" hidden="false" customHeight="false" outlineLevel="0" collapsed="false">
      <c r="A17" s="10" t="s">
        <v>469</v>
      </c>
      <c r="B17" s="11"/>
      <c r="C17" s="11"/>
      <c r="D17" s="11"/>
      <c r="E17" s="11"/>
      <c r="F17" s="11"/>
      <c r="G17" s="11"/>
    </row>
    <row r="18" customFormat="false" ht="22.35" hidden="false" customHeight="false" outlineLevel="0" collapsed="false">
      <c r="A18" s="4" t="s">
        <v>470</v>
      </c>
      <c r="B18" s="5" t="s">
        <v>471</v>
      </c>
      <c r="C18" s="5" t="s">
        <v>129</v>
      </c>
      <c r="D18" s="5" t="s">
        <v>472</v>
      </c>
      <c r="E18" s="6"/>
      <c r="F18" s="6" t="s">
        <v>64</v>
      </c>
      <c r="G18" s="5" t="s">
        <v>473</v>
      </c>
    </row>
    <row r="19" customFormat="false" ht="22.35" hidden="false" customHeight="false" outlineLevel="0" collapsed="false">
      <c r="A19" s="7" t="s">
        <v>474</v>
      </c>
      <c r="B19" s="8" t="s">
        <v>64</v>
      </c>
      <c r="C19" s="8" t="s">
        <v>475</v>
      </c>
      <c r="D19" s="8" t="s">
        <v>476</v>
      </c>
      <c r="E19" s="9"/>
      <c r="F19" s="9" t="s">
        <v>64</v>
      </c>
      <c r="G19" s="8" t="s">
        <v>477</v>
      </c>
    </row>
    <row r="20" customFormat="false" ht="22.35" hidden="false" customHeight="false" outlineLevel="0" collapsed="false">
      <c r="A20" s="4" t="s">
        <v>478</v>
      </c>
      <c r="B20" s="5" t="s">
        <v>479</v>
      </c>
      <c r="C20" s="5" t="s">
        <v>480</v>
      </c>
      <c r="D20" s="5" t="s">
        <v>481</v>
      </c>
      <c r="E20" s="6"/>
      <c r="F20" s="6" t="s">
        <v>64</v>
      </c>
      <c r="G20" s="5" t="s">
        <v>482</v>
      </c>
    </row>
    <row r="21" customFormat="false" ht="22.35" hidden="false" customHeight="false" outlineLevel="0" collapsed="false">
      <c r="A21" s="7" t="s">
        <v>483</v>
      </c>
      <c r="B21" s="8" t="s">
        <v>64</v>
      </c>
      <c r="C21" s="8" t="s">
        <v>484</v>
      </c>
      <c r="D21" s="8" t="s">
        <v>173</v>
      </c>
      <c r="E21" s="9"/>
      <c r="F21" s="9" t="s">
        <v>64</v>
      </c>
      <c r="G21" s="8" t="s">
        <v>485</v>
      </c>
    </row>
    <row r="22" customFormat="false" ht="15" hidden="false" customHeight="false" outlineLevel="0" collapsed="false">
      <c r="A22" s="4" t="s">
        <v>486</v>
      </c>
      <c r="B22" s="5" t="s">
        <v>64</v>
      </c>
      <c r="C22" s="5" t="s">
        <v>487</v>
      </c>
      <c r="D22" s="5" t="s">
        <v>173</v>
      </c>
      <c r="E22" s="6"/>
      <c r="F22" s="6" t="s">
        <v>64</v>
      </c>
      <c r="G22" s="5" t="s">
        <v>488</v>
      </c>
    </row>
    <row r="23" customFormat="false" ht="22.35" hidden="false" customHeight="false" outlineLevel="0" collapsed="false">
      <c r="A23" s="7" t="s">
        <v>381</v>
      </c>
      <c r="B23" s="8" t="s">
        <v>64</v>
      </c>
      <c r="C23" s="8" t="s">
        <v>129</v>
      </c>
      <c r="D23" s="8" t="s">
        <v>489</v>
      </c>
      <c r="E23" s="9"/>
      <c r="F23" s="9" t="s">
        <v>64</v>
      </c>
      <c r="G23" s="8" t="s">
        <v>490</v>
      </c>
    </row>
    <row r="26" customFormat="false" ht="15" hidden="false" customHeight="false" outlineLevel="0" collapsed="false">
      <c r="A26" s="19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52"/>
  </cols>
  <sheetData>
    <row r="1" customFormat="false" ht="16.15" hidden="false" customHeight="false" outlineLevel="0" collapsed="false">
      <c r="A1" s="1" t="s">
        <v>492</v>
      </c>
    </row>
    <row r="2" customFormat="false" ht="45.75" hidden="false" customHeight="true" outlineLevel="0" collapsed="false">
      <c r="A2" s="2" t="s">
        <v>493</v>
      </c>
    </row>
    <row r="5" customFormat="false" ht="33.75" hidden="false" customHeight="true" outlineLevel="0" collapsed="false">
      <c r="A5" s="3" t="s">
        <v>494</v>
      </c>
      <c r="B5" s="3" t="s">
        <v>495</v>
      </c>
      <c r="C5" s="3" t="s">
        <v>496</v>
      </c>
      <c r="D5" s="3" t="s">
        <v>497</v>
      </c>
      <c r="E5" s="3" t="s">
        <v>498</v>
      </c>
      <c r="F5" s="3" t="s">
        <v>499</v>
      </c>
      <c r="G5" s="3" t="s">
        <v>500</v>
      </c>
    </row>
    <row r="6" customFormat="false" ht="15" hidden="false" customHeight="false" outlineLevel="0" collapsed="false">
      <c r="A6" s="4" t="s">
        <v>501</v>
      </c>
      <c r="B6" s="14" t="n">
        <v>1837.4</v>
      </c>
      <c r="C6" s="14" t="n">
        <v>2162.6</v>
      </c>
      <c r="D6" s="14" t="n">
        <v>2031.57</v>
      </c>
      <c r="E6" s="14" t="n">
        <v>2271.74</v>
      </c>
      <c r="F6" s="14" t="n">
        <v>2784.3</v>
      </c>
      <c r="G6" s="5" t="s">
        <v>502</v>
      </c>
    </row>
    <row r="7" customFormat="false" ht="22.35" hidden="false" customHeight="false" outlineLevel="0" collapsed="false">
      <c r="A7" s="7" t="s">
        <v>503</v>
      </c>
      <c r="B7" s="16" t="n">
        <v>0</v>
      </c>
      <c r="C7" s="16" t="n">
        <v>0</v>
      </c>
      <c r="D7" s="16" t="n">
        <v>0</v>
      </c>
      <c r="E7" s="16" t="n">
        <v>681.52</v>
      </c>
      <c r="F7" s="16" t="n">
        <v>835.29</v>
      </c>
      <c r="G7" s="8" t="s">
        <v>504</v>
      </c>
    </row>
    <row r="8" customFormat="false" ht="15" hidden="false" customHeight="false" outlineLevel="0" collapsed="false">
      <c r="A8" s="4" t="s">
        <v>505</v>
      </c>
      <c r="B8" s="14" t="n">
        <v>309.168</v>
      </c>
      <c r="C8" s="14" t="n">
        <v>309.168</v>
      </c>
      <c r="D8" s="14" t="n">
        <v>395.656</v>
      </c>
      <c r="E8" s="14" t="n">
        <v>523.488</v>
      </c>
      <c r="F8" s="14" t="n">
        <v>520.752</v>
      </c>
      <c r="G8" s="5" t="s">
        <v>506</v>
      </c>
    </row>
    <row r="9" customFormat="false" ht="15" hidden="false" customHeight="false" outlineLevel="0" collapsed="false">
      <c r="A9" s="7" t="s">
        <v>507</v>
      </c>
      <c r="B9" s="16" t="n">
        <v>151.91</v>
      </c>
      <c r="C9" s="16" t="n">
        <v>151.91</v>
      </c>
      <c r="D9" s="16" t="n">
        <v>205.91</v>
      </c>
      <c r="E9" s="16" t="n">
        <v>198.03</v>
      </c>
      <c r="F9" s="16" t="n">
        <v>193.62</v>
      </c>
      <c r="G9" s="8" t="s">
        <v>508</v>
      </c>
    </row>
    <row r="10" customFormat="false" ht="22.35" hidden="false" customHeight="false" outlineLevel="0" collapsed="false">
      <c r="A10" s="4" t="s">
        <v>365</v>
      </c>
      <c r="B10" s="14" t="n">
        <v>37.09</v>
      </c>
      <c r="C10" s="14" t="n">
        <v>37.09</v>
      </c>
      <c r="D10" s="14" t="n">
        <v>0</v>
      </c>
      <c r="E10" s="14" t="n">
        <v>0</v>
      </c>
      <c r="F10" s="14" t="n">
        <v>0</v>
      </c>
      <c r="G10" s="5" t="s">
        <v>509</v>
      </c>
    </row>
    <row r="11" customFormat="false" ht="15" hidden="false" customHeight="false" outlineLevel="0" collapsed="false">
      <c r="A11" s="7" t="s">
        <v>145</v>
      </c>
      <c r="B11" s="16" t="n">
        <v>16.75</v>
      </c>
      <c r="C11" s="16" t="n">
        <v>16.75</v>
      </c>
      <c r="D11" s="16" t="n">
        <v>0</v>
      </c>
      <c r="E11" s="16" t="n">
        <v>0</v>
      </c>
      <c r="F11" s="16" t="n">
        <v>0</v>
      </c>
      <c r="G11" s="8" t="s">
        <v>510</v>
      </c>
    </row>
    <row r="12" customFormat="false" ht="15" hidden="false" customHeight="false" outlineLevel="0" collapsed="false">
      <c r="A12" s="4" t="s">
        <v>337</v>
      </c>
      <c r="B12" s="14" t="n">
        <v>0</v>
      </c>
      <c r="C12" s="14" t="n">
        <v>0</v>
      </c>
      <c r="D12" s="14" t="n">
        <v>110</v>
      </c>
      <c r="E12" s="14" t="n">
        <v>0</v>
      </c>
      <c r="F12" s="14" t="n">
        <v>0</v>
      </c>
      <c r="G12" s="5" t="s">
        <v>511</v>
      </c>
    </row>
    <row r="13" customFormat="false" ht="15" hidden="false" customHeight="false" outlineLevel="0" collapsed="false">
      <c r="A13" s="7" t="s">
        <v>512</v>
      </c>
      <c r="B13" s="16" t="n">
        <v>0</v>
      </c>
      <c r="C13" s="16" t="n">
        <v>0</v>
      </c>
      <c r="D13" s="16" t="n">
        <v>29.3</v>
      </c>
      <c r="E13" s="16" t="n">
        <v>0</v>
      </c>
      <c r="F13" s="16" t="n">
        <v>147.21</v>
      </c>
      <c r="G13" s="8" t="s">
        <v>513</v>
      </c>
    </row>
    <row r="14" customFormat="false" ht="22.35" hidden="false" customHeight="false" outlineLevel="0" collapsed="false">
      <c r="A14" s="4" t="s">
        <v>514</v>
      </c>
      <c r="B14" s="14" t="n">
        <v>300</v>
      </c>
      <c r="C14" s="14" t="n">
        <v>300</v>
      </c>
      <c r="D14" s="14" t="n">
        <v>300</v>
      </c>
      <c r="E14" s="14" t="n">
        <v>450</v>
      </c>
      <c r="F14" s="14" t="n">
        <v>420</v>
      </c>
      <c r="G14" s="5" t="s">
        <v>515</v>
      </c>
    </row>
    <row r="15" customFormat="false" ht="15" hidden="false" customHeight="false" outlineLevel="0" collapsed="false">
      <c r="A15" s="12" t="s">
        <v>516</v>
      </c>
      <c r="B15" s="26" t="n">
        <f aca="false">SUM(B6:B14)</f>
        <v>2652.318</v>
      </c>
      <c r="C15" s="26" t="n">
        <f aca="false">SUM(C6:C14)</f>
        <v>2977.518</v>
      </c>
      <c r="D15" s="26" t="n">
        <f aca="false">SUM(D6:D14)</f>
        <v>3072.436</v>
      </c>
      <c r="E15" s="26" t="n">
        <f aca="false">SUM(E6:E14)</f>
        <v>4124.778</v>
      </c>
      <c r="F15" s="26" t="n">
        <f aca="false">SUM(F6:F14)</f>
        <v>4901.172</v>
      </c>
      <c r="G15" s="20" t="s">
        <v>517</v>
      </c>
    </row>
    <row r="16" customFormat="false" ht="15" hidden="false" customHeight="false" outlineLevel="0" collapsed="false">
      <c r="A16" s="4" t="s">
        <v>518</v>
      </c>
      <c r="B16" s="27" t="n">
        <f aca="false">B15/$B$15*100</f>
        <v>100</v>
      </c>
      <c r="C16" s="27" t="n">
        <f aca="false">C15/$B$15*100</f>
        <v>112.260973231717</v>
      </c>
      <c r="D16" s="27" t="n">
        <f aca="false">D15/$B$15*100</f>
        <v>115.839654219441</v>
      </c>
      <c r="E16" s="27" t="n">
        <f aca="false">E15/$B$15*100</f>
        <v>155.515967542353</v>
      </c>
      <c r="F16" s="27" t="n">
        <f aca="false">F15/$B$15*100</f>
        <v>184.788249372813</v>
      </c>
      <c r="G16" s="5" t="s">
        <v>519</v>
      </c>
    </row>
    <row r="18" customFormat="false" ht="15" hidden="false" customHeight="false" outlineLevel="0" collapsed="false">
      <c r="A18" s="19" t="s">
        <v>520</v>
      </c>
    </row>
    <row r="19" customFormat="false" ht="15" hidden="false" customHeight="false" outlineLevel="0" collapsed="false">
      <c r="A19" s="18" t="s">
        <v>521</v>
      </c>
    </row>
    <row r="20" customFormat="false" ht="15" hidden="false" customHeight="false" outlineLevel="0" collapsed="false">
      <c r="A20" s="19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2026-08-19T01:46:00Z</dcterms:created>
  <dc:creator>openpyxl</dc:creator>
  <dc:description/>
  <dc:language>en-US</dc:language>
  <cp:lastModifiedBy/>
  <dcterms:modified xsi:type="dcterms:W3CDTF">2026-08-19T01:46:01Z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